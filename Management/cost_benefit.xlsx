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19b4cffbc7f51e4/Dokumente/GitHub/play-the-games/Management/"/>
    </mc:Choice>
  </mc:AlternateContent>
  <xr:revisionPtr revIDLastSave="0" documentId="8_{8E403790-F8CC-410A-8756-8E0D84624797}" xr6:coauthVersionLast="47" xr6:coauthVersionMax="47" xr10:uidLastSave="{00000000-0000-0000-0000-000000000000}"/>
  <bookViews>
    <workbookView xWindow="-98" yWindow="-98" windowWidth="21795" windowHeight="12975" tabRatio="500" firstSheet="2" activeTab="5" xr2:uid="{00000000-000D-0000-FFFF-FFFF00000000}"/>
  </bookViews>
  <sheets>
    <sheet name="Read Me" sheetId="1" state="hidden" r:id="rId1"/>
    <sheet name="Assumptions" sheetId="2" state="hidden" r:id="rId2"/>
    <sheet name="Cost Build-Up" sheetId="3" r:id="rId3"/>
    <sheet name="Revenue Build-Up" sheetId="4" state="hidden" r:id="rId4"/>
    <sheet name="Revenue new logic" sheetId="7" r:id="rId5"/>
    <sheet name="Cost-Benefit Summary" sheetId="5" r:id="rId6"/>
    <sheet name="Sources" sheetId="6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" i="5" l="1"/>
  <c r="K5" i="5"/>
  <c r="K7" i="7"/>
  <c r="K17" i="7"/>
  <c r="K20" i="7"/>
  <c r="K24" i="7" s="1"/>
  <c r="K4" i="5" s="1"/>
  <c r="K7" i="5" s="1"/>
  <c r="K11" i="5" s="1"/>
  <c r="K21" i="7"/>
  <c r="K22" i="7"/>
  <c r="K23" i="7"/>
  <c r="K6" i="3"/>
  <c r="K12" i="3"/>
  <c r="K13" i="3"/>
  <c r="K16" i="3"/>
  <c r="D13" i="3"/>
  <c r="E13" i="3"/>
  <c r="F13" i="3"/>
  <c r="G13" i="3"/>
  <c r="H13" i="3"/>
  <c r="I13" i="3"/>
  <c r="J13" i="3"/>
  <c r="C13" i="3"/>
  <c r="B13" i="3"/>
  <c r="D12" i="3"/>
  <c r="E12" i="3"/>
  <c r="F12" i="3"/>
  <c r="G12" i="3"/>
  <c r="H12" i="3"/>
  <c r="I12" i="3"/>
  <c r="J12" i="3"/>
  <c r="C12" i="3"/>
  <c r="B12" i="3" s="1"/>
  <c r="D6" i="3"/>
  <c r="E6" i="3"/>
  <c r="F6" i="3"/>
  <c r="G6" i="3"/>
  <c r="H6" i="3"/>
  <c r="I6" i="3"/>
  <c r="J6" i="3"/>
  <c r="C6" i="3"/>
  <c r="E31" i="7"/>
  <c r="E32" i="7"/>
  <c r="E33" i="7"/>
  <c r="E34" i="7"/>
  <c r="E35" i="7"/>
  <c r="E30" i="7"/>
  <c r="D5" i="7"/>
  <c r="E5" i="7"/>
  <c r="F5" i="7"/>
  <c r="G5" i="7"/>
  <c r="H5" i="7"/>
  <c r="C5" i="7"/>
  <c r="H24" i="7"/>
  <c r="G24" i="7"/>
  <c r="F24" i="7"/>
  <c r="E24" i="7"/>
  <c r="D24" i="7"/>
  <c r="C24" i="7"/>
  <c r="J23" i="7"/>
  <c r="I23" i="7"/>
  <c r="J22" i="7"/>
  <c r="I22" i="7"/>
  <c r="J21" i="7"/>
  <c r="I21" i="7"/>
  <c r="J20" i="7"/>
  <c r="I20" i="7"/>
  <c r="H17" i="7"/>
  <c r="J7" i="7"/>
  <c r="I7" i="7"/>
  <c r="H7" i="7"/>
  <c r="G7" i="7"/>
  <c r="F7" i="7"/>
  <c r="E7" i="7"/>
  <c r="D7" i="7"/>
  <c r="C7" i="7"/>
  <c r="C30" i="2"/>
  <c r="C28" i="2"/>
  <c r="H30" i="4"/>
  <c r="G30" i="4"/>
  <c r="F30" i="4"/>
  <c r="E30" i="4"/>
  <c r="D30" i="4"/>
  <c r="C30" i="4"/>
  <c r="J29" i="4"/>
  <c r="I29" i="4"/>
  <c r="J28" i="4"/>
  <c r="I28" i="4"/>
  <c r="J27" i="4"/>
  <c r="I27" i="4"/>
  <c r="J26" i="4"/>
  <c r="J30" i="4" s="1"/>
  <c r="I26" i="4"/>
  <c r="H20" i="4"/>
  <c r="H21" i="4" s="1"/>
  <c r="H22" i="4" s="1"/>
  <c r="H23" i="4" s="1"/>
  <c r="J15" i="4"/>
  <c r="I15" i="4"/>
  <c r="H15" i="4"/>
  <c r="G15" i="4"/>
  <c r="F15" i="4"/>
  <c r="E15" i="4"/>
  <c r="D15" i="4"/>
  <c r="C15" i="4"/>
  <c r="H12" i="4"/>
  <c r="J9" i="4"/>
  <c r="I9" i="4"/>
  <c r="I10" i="4" s="1"/>
  <c r="H9" i="4"/>
  <c r="G9" i="4"/>
  <c r="F9" i="4"/>
  <c r="E9" i="4"/>
  <c r="D9" i="4"/>
  <c r="C9" i="4"/>
  <c r="J8" i="4"/>
  <c r="I8" i="4"/>
  <c r="H8" i="4"/>
  <c r="G8" i="4"/>
  <c r="F8" i="4"/>
  <c r="E8" i="4"/>
  <c r="D8" i="4"/>
  <c r="C8" i="4"/>
  <c r="J6" i="4"/>
  <c r="I6" i="4"/>
  <c r="H6" i="4"/>
  <c r="G6" i="4"/>
  <c r="F6" i="4"/>
  <c r="E6" i="4"/>
  <c r="D6" i="4"/>
  <c r="C6" i="4"/>
  <c r="J16" i="3" l="1"/>
  <c r="E36" i="7"/>
  <c r="C6" i="7" s="1"/>
  <c r="C14" i="7"/>
  <c r="I16" i="3"/>
  <c r="I5" i="5" s="1"/>
  <c r="H16" i="3"/>
  <c r="H5" i="5" s="1"/>
  <c r="B16" i="3"/>
  <c r="B5" i="5" s="1"/>
  <c r="C16" i="3"/>
  <c r="C5" i="5" s="1"/>
  <c r="G16" i="3"/>
  <c r="G5" i="5" s="1"/>
  <c r="E16" i="3"/>
  <c r="D16" i="3"/>
  <c r="D5" i="5" s="1"/>
  <c r="F16" i="3"/>
  <c r="F5" i="5" s="1"/>
  <c r="C8" i="7"/>
  <c r="C11" i="7" s="1"/>
  <c r="I17" i="7"/>
  <c r="I24" i="7"/>
  <c r="I4" i="5" s="1"/>
  <c r="C17" i="7"/>
  <c r="J24" i="7"/>
  <c r="J4" i="5" s="1"/>
  <c r="J17" i="7"/>
  <c r="D17" i="7"/>
  <c r="E17" i="7"/>
  <c r="F17" i="7"/>
  <c r="G17" i="7"/>
  <c r="J10" i="4"/>
  <c r="H11" i="4"/>
  <c r="C10" i="4"/>
  <c r="I11" i="4"/>
  <c r="D10" i="4"/>
  <c r="J11" i="4"/>
  <c r="J13" i="4" s="1"/>
  <c r="J16" i="4" s="1"/>
  <c r="I30" i="4"/>
  <c r="E10" i="4"/>
  <c r="C11" i="4"/>
  <c r="C13" i="4" s="1"/>
  <c r="C16" i="4" s="1"/>
  <c r="F20" i="4"/>
  <c r="F21" i="4" s="1"/>
  <c r="F22" i="4" s="1"/>
  <c r="F23" i="4" s="1"/>
  <c r="D11" i="4"/>
  <c r="D13" i="4" s="1"/>
  <c r="D16" i="4" s="1"/>
  <c r="G10" i="4"/>
  <c r="E11" i="4"/>
  <c r="H10" i="4"/>
  <c r="H13" i="4" s="1"/>
  <c r="H16" i="4" s="1"/>
  <c r="H32" i="4" s="1"/>
  <c r="F11" i="4"/>
  <c r="I20" i="4"/>
  <c r="I21" i="4" s="1"/>
  <c r="I22" i="4" s="1"/>
  <c r="I23" i="4" s="1"/>
  <c r="G11" i="4"/>
  <c r="J20" i="4"/>
  <c r="J21" i="4" s="1"/>
  <c r="J22" i="4" s="1"/>
  <c r="J23" i="4" s="1"/>
  <c r="J5" i="5"/>
  <c r="E5" i="5"/>
  <c r="I13" i="4"/>
  <c r="I16" i="4" s="1"/>
  <c r="C20" i="4"/>
  <c r="C21" i="4" s="1"/>
  <c r="C22" i="4" s="1"/>
  <c r="C23" i="4" s="1"/>
  <c r="D20" i="4"/>
  <c r="D21" i="4" s="1"/>
  <c r="D22" i="4" s="1"/>
  <c r="D23" i="4" s="1"/>
  <c r="E20" i="4"/>
  <c r="E21" i="4" s="1"/>
  <c r="E22" i="4" s="1"/>
  <c r="E23" i="4" s="1"/>
  <c r="F10" i="4"/>
  <c r="G20" i="4"/>
  <c r="G21" i="4" s="1"/>
  <c r="G22" i="4" s="1"/>
  <c r="G23" i="4" s="1"/>
  <c r="C4" i="5" l="1"/>
  <c r="C26" i="7"/>
  <c r="D8" i="7"/>
  <c r="D11" i="7" s="1"/>
  <c r="D4" i="5" s="1"/>
  <c r="D6" i="7"/>
  <c r="B7" i="5"/>
  <c r="M5" i="5"/>
  <c r="D14" i="7"/>
  <c r="E6" i="7"/>
  <c r="I32" i="4"/>
  <c r="I7" i="5" s="1"/>
  <c r="I11" i="5" s="1"/>
  <c r="J32" i="4"/>
  <c r="G13" i="4"/>
  <c r="G16" i="4" s="1"/>
  <c r="F13" i="4"/>
  <c r="F16" i="4" s="1"/>
  <c r="F32" i="4" s="1"/>
  <c r="D32" i="4"/>
  <c r="C32" i="4"/>
  <c r="J7" i="5"/>
  <c r="J11" i="5" s="1"/>
  <c r="G32" i="4"/>
  <c r="E13" i="4"/>
  <c r="E16" i="4" s="1"/>
  <c r="E32" i="4" s="1"/>
  <c r="C7" i="5" l="1"/>
  <c r="D7" i="5"/>
  <c r="D11" i="5" s="1"/>
  <c r="D26" i="7"/>
  <c r="B11" i="5"/>
  <c r="B8" i="5"/>
  <c r="E14" i="7"/>
  <c r="F6" i="7"/>
  <c r="E8" i="7"/>
  <c r="E11" i="7" s="1"/>
  <c r="C8" i="5" l="1"/>
  <c r="D8" i="5" s="1"/>
  <c r="C11" i="5"/>
  <c r="E4" i="5"/>
  <c r="E26" i="7"/>
  <c r="F14" i="7"/>
  <c r="G6" i="7"/>
  <c r="H6" i="7" s="1"/>
  <c r="F8" i="7"/>
  <c r="F11" i="7" s="1"/>
  <c r="E7" i="5" l="1"/>
  <c r="E8" i="5"/>
  <c r="F8" i="5" s="1"/>
  <c r="F4" i="5"/>
  <c r="F7" i="5" s="1"/>
  <c r="F11" i="5" s="1"/>
  <c r="F26" i="7"/>
  <c r="G14" i="7"/>
  <c r="I6" i="7"/>
  <c r="G8" i="7"/>
  <c r="G11" i="7" s="1"/>
  <c r="E11" i="5" l="1"/>
  <c r="G4" i="5"/>
  <c r="G26" i="7"/>
  <c r="H14" i="7"/>
  <c r="H8" i="7"/>
  <c r="H11" i="7" s="1"/>
  <c r="J6" i="7"/>
  <c r="I8" i="7"/>
  <c r="I11" i="7" s="1"/>
  <c r="I26" i="7" s="1"/>
  <c r="G7" i="5" l="1"/>
  <c r="L4" i="5"/>
  <c r="J8" i="7"/>
  <c r="J11" i="7" s="1"/>
  <c r="J26" i="7" s="1"/>
  <c r="K6" i="7"/>
  <c r="K8" i="7" s="1"/>
  <c r="K11" i="7" s="1"/>
  <c r="K26" i="7" s="1"/>
  <c r="H26" i="7"/>
  <c r="H4" i="5"/>
  <c r="H7" i="5" s="1"/>
  <c r="H11" i="5" s="1"/>
  <c r="G11" i="5" l="1"/>
  <c r="L7" i="5"/>
  <c r="L9" i="5" s="1"/>
  <c r="G8" i="5"/>
  <c r="H8" i="5" s="1"/>
  <c r="M4" i="5"/>
  <c r="I8" i="5" l="1"/>
  <c r="J8" i="5" s="1"/>
  <c r="K8" i="5" l="1"/>
  <c r="M8" i="5" s="1"/>
</calcChain>
</file>

<file path=xl/sharedStrings.xml><?xml version="1.0" encoding="utf-8"?>
<sst xmlns="http://schemas.openxmlformats.org/spreadsheetml/2006/main" count="262" uniqueCount="212">
  <si>
    <t>Play the Games — Cost-Benefit Analysis (AUD)</t>
  </si>
  <si>
    <t>Purpose</t>
  </si>
  <si>
    <t>This workbook estimates costs and revenue for the Play the Games sponsor-funded, prize-driven mobile gaming platform across the 2027-2034 rollout (Pilot -&gt; Domestic Scale -&gt; International Push -&gt; Pre-Olympic -&gt; Brisbane 2032 Games -&gt; Post-Games Licensing). All figures are in Australian Dollars (AUD).</t>
  </si>
  <si>
    <t>How to read this workbook</t>
  </si>
  <si>
    <t>Assumptions sheet</t>
  </si>
  <si>
    <t>Every input used anywhere in the model lives here, in blue font, with a stated rationale and a source citation. Change a number here and it flows through to every other tab.</t>
  </si>
  <si>
    <t>Color coding</t>
  </si>
  <si>
    <t>Blue = hardcoded input/assumption. Black = formula/calculation. Green = link pulling from another sheet. Yellow highlight = an assumption you may want to revisit or negotiate (e.g. revenue share %).</t>
  </si>
  <si>
    <t>Cost Build-Up sheet</t>
  </si>
  <si>
    <t>Year-by-year cost breakdown (platform build, infrastructure, content, legal, BD/sales, operations) for 2027-2034.</t>
  </si>
  <si>
    <t>Revenue Build-Up sheet</t>
  </si>
  <si>
    <t>Year-by-year revenue breakdown (sponsorship inventory, concession uplift share, licensing fees post-2032) for 2027-2034.</t>
  </si>
  <si>
    <t>Cost-Benefit Summary sheet</t>
  </si>
  <si>
    <t>Combines cost and revenue into net position, cumulative cash flow, and a simple payback view.</t>
  </si>
  <si>
    <t>Sources sheet</t>
  </si>
  <si>
    <t>Full reference list for every external figure used as a benchmark or proxy in this model.</t>
  </si>
  <si>
    <t>Important caveat</t>
  </si>
  <si>
    <t>Play the Games is a new, unbuilt concept with no direct comparable product operating at this scale in Australia. Where no direct precedent exists, this model uses the closest available real-world proxy (e.g. comparable stadium digital advertising inventory, comparable MVP/app build costs, comparable fan-engagement platform benchmarks) and states this explicitly in the rationale and source columns. All figures should be treated as a planning estimate to be refined with real quotes and a negotiated revenue share once venue/sponsor conversations begin (see Assumptions sheet, row for Revenue Share %, highlighted in yellow).</t>
  </si>
  <si>
    <t>Key Assumptions &amp; Sources</t>
  </si>
  <si>
    <t>Assumption</t>
  </si>
  <si>
    <t>Value</t>
  </si>
  <si>
    <t>Rationale</t>
  </si>
  <si>
    <t>Source</t>
  </si>
  <si>
    <t>CATEGORY: Rollout &amp; Venue Scale</t>
  </si>
  <si>
    <t>Pilot year</t>
  </si>
  <si>
    <t>First operating year; aligns with team plan to pilot with Queensland Stadiums before scaling.</t>
  </si>
  <si>
    <t>Team project plan (GIC 2026 brief)</t>
  </si>
  <si>
    <t>Pilot venues (2027)</t>
  </si>
  <si>
    <t>Suncorp Stadium, The Gabba, Brisbane Entertainment Centre — representative Queensland Stadiums venues for an initial AFL/NRL pilot.</t>
  </si>
  <si>
    <t>Team project plan</t>
  </si>
  <si>
    <t>Domestic venues by 2031 (pre-Olympic)</t>
  </si>
  <si>
    <t>Gradual expansion across Queensland and interstate AFL/NRL/Cricket venues ahead of the Games.</t>
  </si>
  <si>
    <t>Team project plan; phased rollout logic</t>
  </si>
  <si>
    <t>Olympic venues (2032)</t>
  </si>
  <si>
    <t>Official Brisbane 2032 venue count as stated in project brief.</t>
  </si>
  <si>
    <t>Brisbane 2032 GIC project brief</t>
  </si>
  <si>
    <t>Olympic competition days</t>
  </si>
  <si>
    <t>Standard Olympic Games competition window.</t>
  </si>
  <si>
    <t>Olympic tickets sold</t>
  </si>
  <si>
    <t>Stated total ticket volume across the Games.</t>
  </si>
  <si>
    <t>CATEGORY: Game Sessions &amp; Sponsorship Fee</t>
  </si>
  <si>
    <t>Domestic events per venue per year</t>
  </si>
  <si>
    <t>Approximate AFL/NRL home-game season length per venue.</t>
  </si>
  <si>
    <t>Standard AFL/NRL season length (industry knowledge)</t>
  </si>
  <si>
    <t>Dead-time sessions per event</t>
  </si>
  <si>
    <t>Team project plan; matches NFL/NBA-style game structure</t>
  </si>
  <si>
    <t>Domestic sponsorship fee per session (2027)</t>
  </si>
  <si>
    <t>Positioned as entry-level digital in-venue inventory — well below mid-tier LED/jumbotron rotation pricing ($10k-$100k/season) to reflect an unproven, pilot-stage product.</t>
  </si>
  <si>
    <t>Benchmarked against AdQuick stadium advertising cost guide (in-seat/entry-level placements from ~$1,000/game; digital scoreboard/jumbotron $10k-$100k per SEASON) — https://www.adquick.com/stadium-advertising</t>
  </si>
  <si>
    <t>Domestic sponsorship fee per session (2028+, escalated)</t>
  </si>
  <si>
    <t>Fee increases once the pilot has proof points and the product is positioned alongside major tournaments (RWC 2027, T20 WC 2028) with larger audiences.</t>
  </si>
  <si>
    <t>Same benchmark as above, escalated toward mid-tier LED rotation pricing range</t>
  </si>
  <si>
    <t>Olympic sponsorship fee per session (2032)</t>
  </si>
  <si>
    <t>Premium Olympic-scale rate reflecting global broadcast exposure and the scarcity/prestige of official Games inventory — positioned toward the lower-mid end of premium digital perimeter/LED inventory used by top-tier venues.</t>
  </si>
  <si>
    <t>Benchmarked against SoFi Stadium/Crypto.com Arena premium digital board pricing ($75k-$300k PER SEASON, i.e. ~$2.5k-$10k per game-equivalent) — https://www.losangelesstadiumadvertising.com (Carvertise) and DOIT Vision LED cost guide ($6,000-$15,000 per game) — https://www.doitvision.com/how-much-does-perimeter-led-display-cost/</t>
  </si>
  <si>
    <t>CATEGORY: Revenue Share &amp; Licensing</t>
  </si>
  <si>
    <t>Play the Games revenue share of sponsorship inventory</t>
  </si>
  <si>
    <t>PLACEHOLDER — to be negotiated per venue. 20% is a conservative mid-point for a third-party technology/inventory partner contributing the platform but not owning the underlying venue relationship; final % will vary by venue and should be revisited once commercial terms are discussed.</t>
  </si>
  <si>
    <t>Placeholder estimate — no public benchmark exists for this specific arrangement; flagged for negotiation (see Read Me sheet)</t>
  </si>
  <si>
    <t>Concession revenue share (uplift attributable to platform)</t>
  </si>
  <si>
    <t>Conservative share of incremental concession spend directly attributable to in-app redemption offers, reflecting that Play the Games drives but does not operate the point-of-sale.</t>
  </si>
  <si>
    <t>Placeholder estimate — directional only, consistent with third-party referral/influencer commercial structures</t>
  </si>
  <si>
    <t>Avg. redemption rate (active users who redeem a prize)</t>
  </si>
  <si>
    <t>Mid-point of a plausible 15-25% range cited in the original project brief for location-aware, game-won discounts.</t>
  </si>
  <si>
    <t>Team project plan (PlayLympics brief, "Pay-Using-Benefit Criteria" section)</t>
  </si>
  <si>
    <t>Avg. concession transaction value per redemption (AUD)</t>
  </si>
  <si>
    <t>Typical single-item stadium F&amp;B transaction value (e.g. a drink or snack voucher).</t>
  </si>
  <si>
    <t>Estimate based on typical Australian stadium concession pricing; directional only</t>
  </si>
  <si>
    <t>AFL annual licensing fee (post-2032)</t>
  </si>
  <si>
    <t>Mid-market enterprise software/platform licensing fee for a national-code year-round deployment, escalated from the lower end given AFL venue count and audience scale.</t>
  </si>
  <si>
    <t>Benchmarked against TechAhead "Enterprise Platform" pricing tier ($250k-$500k+) — https://www.techaheadcorp.com/blog/mobile-app-development-cost-guide/ ; figure represents annual licence not build cost</t>
  </si>
  <si>
    <t>NRL annual licensing fee (post-2032)</t>
  </si>
  <si>
    <t>Same logic as AFL — comparable national code scale.</t>
  </si>
  <si>
    <t>Same benchmark as above</t>
  </si>
  <si>
    <t>Cricket Australia annual licensing fee (post-2032)</t>
  </si>
  <si>
    <t>Smaller relative venue footprint and shorter domestic season than AFL/NRL.</t>
  </si>
  <si>
    <t>Directional estimate, scaled down from AFL/NRL benchmark</t>
  </si>
  <si>
    <t>International/other code licensing fee (post-2032, combined)</t>
  </si>
  <si>
    <t>2-3 additional codes/leagues at smaller individual licence values, combined.</t>
  </si>
  <si>
    <t>Directional estimate</t>
  </si>
  <si>
    <t>CATEGORY: Platform Build &amp; Technology Costs</t>
  </si>
  <si>
    <t>Initial platform build (PWA + backend) — Year 1</t>
  </si>
  <si>
    <t>Positioned at the mid-point of a "Proof of Concept / MVP" tier mobile-web build — single platform (PWA, not native app), basic backend, core screens — consistent with team brief specifying a mobile-optimised website rather than a native app.</t>
  </si>
  <si>
    <t>Annual platform maintenance (% of build cost)</t>
  </si>
  <si>
    <t>Industry-standard ongoing maintenance allowance.</t>
  </si>
  <si>
    <t>CATEGORY: Cost Escalation</t>
  </si>
  <si>
    <t>General cost escalation per phase (non-platform opex)</t>
  </si>
  <si>
    <t>Reflects growing operational complexity (more venues, more languages, more events) at each rollout phase rather than flat annual inflation.</t>
  </si>
  <si>
    <t>Directional planning assumption, consistent with team phased rollout plan (Pilot -&gt; Scale -&gt; Games -&gt; Sustain)</t>
  </si>
  <si>
    <t>Cost Build-Up by Year (AUD)</t>
  </si>
  <si>
    <t>Cost Item</t>
  </si>
  <si>
    <t>2027</t>
  </si>
  <si>
    <t>2028</t>
  </si>
  <si>
    <t>2029</t>
  </si>
  <si>
    <t>2030</t>
  </si>
  <si>
    <t>2031</t>
  </si>
  <si>
    <t>2032</t>
  </si>
  <si>
    <t>2033</t>
  </si>
  <si>
    <t>2034</t>
  </si>
  <si>
    <t>Notes / Source</t>
  </si>
  <si>
    <t>Subtotal - One-Time Platform Build</t>
  </si>
  <si>
    <t>Platform maintenance (% of total build cost)</t>
  </si>
  <si>
    <t>Legal &amp; compliance (venue contracts, Privacy Act)</t>
  </si>
  <si>
    <t>Business development &amp; sales</t>
  </si>
  <si>
    <t>Venue/sponsor acquisition effort; assumed to taper in 2032 (focus shifts to delivery) and resume for post-Games licensing conversations. Directional estimate.</t>
  </si>
  <si>
    <t>Includes venue onboarding, QR placement coordination, and (2032) on-site staffing across 37 venues x 17 days. Directional estimate.</t>
  </si>
  <si>
    <t>TOTAL ANNUAL COST</t>
  </si>
  <si>
    <t>Revenue Build-Up by Year (AUD)</t>
  </si>
  <si>
    <t>Revenue Driver</t>
  </si>
  <si>
    <t>Domestic venues active</t>
  </si>
  <si>
    <t>Phased domestic rollout: 3 (2027 QLD pilot) -&gt; 6 -&gt; 10 -&gt; 15 -&gt; 20 by 2031. Set to 0 in 2032 (Games year handled separately below) and resumes implicitly via licensing from 2033.</t>
  </si>
  <si>
    <t>AFL/NRL-style home season length. See Assumptions.</t>
  </si>
  <si>
    <t>Extra major-tournament matches (RWC 2027 carry-over, T20 WC 2028, Women's RWC 2029)</t>
  </si>
  <si>
    <t>2028: ~40 Rugby World Cup 2027 carry-over/related matches + ~30 T20 Cricket World Cup matches on Australian soil. 2029: ~25 Women's Rugby World Cup Australia matches. Match counts are directional planning estimates, not official fixture counts.</t>
  </si>
  <si>
    <t>Sessions per event (dead-time windows)</t>
  </si>
  <si>
    <t>Sponsorship fee per session (AUD)</t>
  </si>
  <si>
    <t>2027 entry rate; escalates 2028+; premium Olympic rate in 2032. See Assumptions for benchmarks.</t>
  </si>
  <si>
    <t>Domestic sponsorship inventory (venues x events x sessions x fee)</t>
  </si>
  <si>
    <t>Major-tournament sponsorship inventory (extra matches x sessions x fee)</t>
  </si>
  <si>
    <t>Olympic sponsorship inventory (37 venues x 17 days x 3 sessions x fee)</t>
  </si>
  <si>
    <t>Total Sponsorship Inventory Generated (100%, before revenue share)</t>
  </si>
  <si>
    <t>Play the Games revenue share % (of sponsorship inventory)</t>
  </si>
  <si>
    <t>PLACEHOLDER - to be negotiated per venue. See Assumptions sheet.</t>
  </si>
  <si>
    <t>Play the Games Sponsorship Revenue</t>
  </si>
  <si>
    <t>Concession &amp; Redemption Revenue</t>
  </si>
  <si>
    <t>Estimated active players per session (avg.)</t>
  </si>
  <si>
    <t>Directional estimate of unique players per dead-time session per venue (not total venue attendance); scales with venue count and 2032 Olympic crowd size.</t>
  </si>
  <si>
    <t>Total sessions run in year (venues x events x sessions + tournament/Olympic sessions)</t>
  </si>
  <si>
    <t>Total redemptions (sessions x active users x redemption rate)</t>
  </si>
  <si>
    <t>Total concession spend attributable to platform (redemptions x avg. txn value)</t>
  </si>
  <si>
    <t>Play the Games Concession Revenue (share of uplift)</t>
  </si>
  <si>
    <t>Post-Games Licensing Revenue</t>
  </si>
  <si>
    <t>AFL licensing fee</t>
  </si>
  <si>
    <t>NRL licensing fee</t>
  </si>
  <si>
    <t>Cricket Australia licensing fee</t>
  </si>
  <si>
    <t>International / other code licensing (combined)</t>
  </si>
  <si>
    <t>Total Licensing Revenue</t>
  </si>
  <si>
    <t>TOTAL ANNUAL REVENUE</t>
  </si>
  <si>
    <t>Cost-Benefit Summary (AUD)</t>
  </si>
  <si>
    <t>Line</t>
  </si>
  <si>
    <t>Notes</t>
  </si>
  <si>
    <t>Total Revenue</t>
  </si>
  <si>
    <t>Total Cost</t>
  </si>
  <si>
    <t>Net Position (Revenue - Cost)</t>
  </si>
  <si>
    <t>Cumulative Net Position</t>
  </si>
  <si>
    <t>Net Margin (%)</t>
  </si>
  <si>
    <t>Commentary</t>
  </si>
  <si>
    <t>Year 1 (2027) is the highest-cost, lowest-revenue year by design - the one-time platform build ($150k) plus QR and redemption system build ($50k combined) are absorbed up-front, against a small 3-venue pilot. This is consistent with the team's phased rollout strategy: validate small, then scale.</t>
  </si>
  <si>
    <t>From 2028 onward, the model shows costs growing roughly in line with venue count and event complexity, while one-time build costs disappear entirely (replaced by a much smaller annual maintenance line at ~20% of build cost). This is the core economic argument for the business: a single upfront build with low marginal cost per additional venue.</t>
  </si>
  <si>
    <t>2032 is the standout year in both directions: Olympic-scale sponsorship inventory at a premium per-session rate drives a sharp revenue spike, while operations and infrastructure costs also spike (37 venues, 17 days, 30,000+ simultaneous users).</t>
  </si>
  <si>
    <t>2033-2034 shifts the revenue model from revenue-share sponsorship to flat annual licensing fees paid by AFL, NRL, Cricket Australia and other codes - a more predictable, lower-cost-to-serve revenue stream once the platform is proven.</t>
  </si>
  <si>
    <t>The single most important unresolved variable in this model is the Play the Games revenue share % (currently a placeholder on the Assumptions sheet, highlighted in yellow). Every revenue figure in this workbook scales directly with that percentage once it is negotiated with real venue partners.</t>
  </si>
  <si>
    <t>Reference Sources Used in This Model</t>
  </si>
  <si>
    <t>Note</t>
  </si>
  <si>
    <t>Play the Games has no direct, publicly-benchmarked precedent operating at this exact scale and model in Australia. The sources below are the closest available real-world proxies for each cost/revenue category and were used to sense-check assumptions, not as exact quotes. Every figure should be validated with real vendor/venue quotes before being used in a binding financial commitment.</t>
  </si>
  <si>
    <t>Category</t>
  </si>
  <si>
    <t>In-venue/stadium digital advertising pricing benchmarks</t>
  </si>
  <si>
    <t>AdQuick, "Stadium, Arena &amp; Sports Team Advertising": entry-level placements ~$1,000/game; digital scoreboard/jumbotron $10,000-$100,000/season; naming rights $500,000-$20M+/year. https://www.adquick.com/stadium-advertising</t>
  </si>
  <si>
    <t>In-venue LED/perimeter advertising pricing benchmarks</t>
  </si>
  <si>
    <t>DOIT Vision, "How Much Does a Stadium/Perimeter LED Display Cost?": perimeter LED ad styles $6,000-$15,000 per game. https://www.doitvision.com/how-much-does-perimeter-led-display-cost/</t>
  </si>
  <si>
    <t>Premium digital board pricing (US major venues, for Olympic-tier rate benchmarking)</t>
  </si>
  <si>
    <t>Carvertise, "Los Angeles Stadium Advertising": SoFi Stadium LED signage from $200,000+/season; Crypto.com Arena digital boards $75,000-$250,000/season; Dodger Stadium outfield signage $80,000-$250,000/season. https://carvertise.com/los-angeles-stadium-advertising/</t>
  </si>
  <si>
    <t>LED display ROI/revenue benchmarks</t>
  </si>
  <si>
    <t>LED Screen Factory, "Stadium LED Screen Cost Guide 2026", citing SportsPro Media's 2024 Stadium Revenue Report: digital perimeter boards can generate $500,000-$3,000,000+ annually for top-tier clubs. https://ledscreenfactory.com/stadium-led-screen-cost-guide/</t>
  </si>
  <si>
    <t>Mobile/web app MVP development cost benchmarks</t>
  </si>
  <si>
    <t>TechAhead, "Mobile App Development Cost in 2026": MVP/Proof of Concept tier $50,000-$100,000 USD; maintenance 15-20% of build cost annually. https://www.techaheadcorp.com/blog/mobile-app-development-cost-guide/</t>
  </si>
  <si>
    <t>Mobile/web app MVP development cost benchmarks (secondary)</t>
  </si>
  <si>
    <t>Netguru, "Mobile App Development Cost: 2026 Complete Guide": median cross-platform MVP cost (200+ apps analysed) = $76,000 USD. https://www.netguru.com/blog/mobile-app-development-cost</t>
  </si>
  <si>
    <t>App maintenance cost benchmark</t>
  </si>
  <si>
    <t>Cynoteck, "Mobile App Development Cost in 2026": industry standard maintenance = 15-20% of original development cost per year. https://www.cynoteck.com/blog-post/mobile-app-development-cost</t>
  </si>
  <si>
    <t>Enterprise platform / licensing fee benchmark (used for post-2032 AFL/NRL licensing estimate)</t>
  </si>
  <si>
    <t>TechAhead, "Mobile App Development Cost in 2026": Enterprise Platform tier = $250,000-$500,000+ (build cost basis used as a directional proxy for an annual enterprise licence value). https://www.techaheadcorp.com/blog/mobile-app-development-cost-guide/</t>
  </si>
  <si>
    <t>Stadium dead-time / crowd behaviour patterns (used to justify session timing logic elsewhere in the pitch, referenced for context)</t>
  </si>
  <si>
    <t>Industry stadium operations commentary (Billfold, Facilities Dive) describing fans remaining seated during play and moving en masse at breaks; halftime windows of 12-15 minutes (NFL ~12 min, NBA ~15 min) as the fixed dead-time unit.</t>
  </si>
  <si>
    <t>Project brief figures (ticket volume, venue count, competition days, sport list, Pay-Using-Benefit Criteria, phased rollout structure)</t>
  </si>
  <si>
    <t>Team project brief: "Play the Games - Slice B - Adaptive Fan Experience, Brisbane 2032 and Beyond" (GIC 2026).</t>
  </si>
  <si>
    <t>half-time/main break</t>
  </si>
  <si>
    <t>2 engineers, 4 weeks, 8hrs/day, 60AUD</t>
  </si>
  <si>
    <t>Game Design (per venue per year)</t>
  </si>
  <si>
    <t>2 engineers, 16hrs, 60AUD</t>
  </si>
  <si>
    <t>Cost per Mille (CPM)</t>
  </si>
  <si>
    <t>AUD</t>
  </si>
  <si>
    <t>Annual visitor capacity across all venues</t>
  </si>
  <si>
    <t>deloitte study</t>
  </si>
  <si>
    <t>?</t>
  </si>
  <si>
    <t>https://www.cynoteck.com/blog-post/mobile-app-development-cost</t>
  </si>
  <si>
    <t>20% of one-time build cost per year, from Year 2 onward. https://www.cynoteck.com/blog-post/mobile-app-development-cost</t>
  </si>
  <si>
    <t>planned annually growth (till 2032)</t>
  </si>
  <si>
    <t>research on stadium sides of queensland; presentattion of brendan keane: 9,5+2,5</t>
  </si>
  <si>
    <t>ROI</t>
  </si>
  <si>
    <t>Initial Invest</t>
  </si>
  <si>
    <t>Break Even</t>
  </si>
  <si>
    <t>Scales with simultaneous user load; spikes in 2032 for ~30,000+ concurrent Olympic users. https://robocitrus.com/blog/laufende-app-kosten</t>
  </si>
  <si>
    <t>Team Saleries</t>
  </si>
  <si>
    <t>Covers revenue-share contracts, Australian Privacy Act compliance, and (from 2030) international/OCOG-level agreements. https://sprintlaw.com.au/articles/how-mu%EE%80%80ch-does-legal-advice-cost-for-small-busi%EE%80%80nesses-and-startups/</t>
  </si>
  <si>
    <t>Cloud infrastructure</t>
  </si>
  <si>
    <t>Includes rented Laptops, Home Office material, Software; https://www.goworkwize.com/blog/it-equipment-average-cost; https://www.goworkwize.com/blog/it-equipment-average-cost</t>
  </si>
  <si>
    <t>Insurance</t>
  </si>
  <si>
    <t>cum</t>
  </si>
  <si>
    <t>ROI:</t>
  </si>
  <si>
    <t>Seats</t>
  </si>
  <si>
    <t>Stadiums of Queensland</t>
  </si>
  <si>
    <t>No. Events (07-12/2026)</t>
  </si>
  <si>
    <t>Hardware &amp; Applications</t>
  </si>
  <si>
    <t>Required Total Investment</t>
  </si>
  <si>
    <t>CAGR for fan engagement industry: 12,8%; we want to grow faster; https://marketintelo.com/report/fan-engagement-platforms-market</t>
  </si>
  <si>
    <t>CPM benchmarks 2025: https://www.netmarvel.com/en/blogs/1347.html</t>
  </si>
  <si>
    <t>only once a game</t>
  </si>
  <si>
    <t>planned growth p.a. (until 2032)</t>
  </si>
  <si>
    <t>https://nationalcover.com.au/business-insurance-for-startups/</t>
  </si>
  <si>
    <t>to be negotiated per venue; ticketmaster: 15% https://www.ticketnews.com/2026/04/live-nation-and-ticketmaster-operate-as-an-illegal-monopoly-jury-finds-in-landmark-antitrust-trial/</t>
  </si>
  <si>
    <t>Flat fee replaces the per-event revenue share model; offering the code cost certainty and Play the Games predictable recurring revenue. Fee set conservatively below estimated annual revenue share equivalent.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</si>
</sst>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"/>
    <numFmt numFmtId="166" formatCode="#,##0;\(#,##0\);\-"/>
  </numFmts>
  <fonts count="27" x14ac:knownFonts="1">
    <font>
      <sz val="11"/>
      <color theme="1"/>
      <name val="Calibri"/>
      <family val="2"/>
      <charset val="1"/>
    </font>
    <font>
      <sz val="10"/>
      <name val="Arial"/>
    </font>
    <font>
      <b/>
      <sz val="16"/>
      <color rgb="FFFFFFFF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8"/>
      <color rgb="FF666666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  <font>
      <sz val="9"/>
      <color rgb="FF333333"/>
      <name val="Arial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  <font>
      <i/>
      <sz val="8"/>
      <color rgb="FF666666"/>
      <name val="Arial"/>
      <family val="2"/>
    </font>
    <font>
      <b/>
      <sz val="10"/>
      <name val="Arial"/>
      <family val="2"/>
    </font>
    <font>
      <b/>
      <sz val="16"/>
      <color rgb="FFFFFFFF"/>
      <name val="Arial"/>
      <family val="2"/>
    </font>
    <font>
      <sz val="11"/>
      <color theme="1"/>
      <name val="Arial"/>
      <family val="2"/>
    </font>
    <font>
      <i/>
      <sz val="8"/>
      <color theme="1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i/>
      <sz val="8"/>
      <name val="Arial"/>
      <family val="2"/>
    </font>
    <font>
      <sz val="10"/>
      <color rgb="FF008000"/>
      <name val="Arial"/>
      <family val="2"/>
    </font>
    <font>
      <b/>
      <sz val="11"/>
      <color rgb="FF1F4E78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i/>
      <sz val="9"/>
      <color rgb="FF44444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3">
    <xf numFmtId="0" fontId="0" fillId="0" borderId="0"/>
    <xf numFmtId="9" fontId="1" fillId="0" borderId="0" applyBorder="0" applyAlignment="0" applyProtection="0"/>
    <xf numFmtId="0" fontId="12" fillId="0" borderId="0" applyNumberFormat="0" applyFill="0" applyBorder="0" applyAlignment="0" applyProtection="0"/>
  </cellStyleXfs>
  <cellXfs count="69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6" fillId="0" borderId="1" xfId="0" applyFont="1" applyBorder="1"/>
    <xf numFmtId="164" fontId="7" fillId="0" borderId="1" xfId="0" applyNumberFormat="1" applyFont="1" applyBorder="1"/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/>
    <xf numFmtId="0" fontId="5" fillId="4" borderId="1" xfId="0" applyFont="1" applyFill="1" applyBorder="1"/>
    <xf numFmtId="0" fontId="6" fillId="4" borderId="1" xfId="0" applyFont="1" applyFill="1" applyBorder="1"/>
    <xf numFmtId="165" fontId="7" fillId="4" borderId="1" xfId="0" applyNumberFormat="1" applyFont="1" applyFill="1" applyBorder="1"/>
    <xf numFmtId="0" fontId="6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165" fontId="7" fillId="0" borderId="1" xfId="0" applyNumberFormat="1" applyFont="1" applyBorder="1"/>
    <xf numFmtId="0" fontId="6" fillId="0" borderId="0" xfId="0" applyFont="1"/>
    <xf numFmtId="164" fontId="9" fillId="0" borderId="0" xfId="0" applyNumberFormat="1" applyFont="1"/>
    <xf numFmtId="164" fontId="10" fillId="0" borderId="0" xfId="0" applyNumberFormat="1" applyFont="1"/>
    <xf numFmtId="0" fontId="8" fillId="0" borderId="0" xfId="0" applyFont="1"/>
    <xf numFmtId="164" fontId="3" fillId="5" borderId="0" xfId="0" applyNumberFormat="1" applyFont="1" applyFill="1"/>
    <xf numFmtId="166" fontId="7" fillId="0" borderId="0" xfId="0" applyNumberFormat="1" applyFont="1"/>
    <xf numFmtId="166" fontId="9" fillId="0" borderId="0" xfId="0" applyNumberFormat="1" applyFont="1"/>
    <xf numFmtId="165" fontId="9" fillId="4" borderId="0" xfId="0" applyNumberFormat="1" applyFont="1" applyFill="1"/>
    <xf numFmtId="166" fontId="10" fillId="0" borderId="0" xfId="0" applyNumberFormat="1" applyFont="1"/>
    <xf numFmtId="0" fontId="4" fillId="2" borderId="0" xfId="0" applyFont="1" applyFill="1"/>
    <xf numFmtId="0" fontId="11" fillId="0" borderId="1" xfId="0" applyFont="1" applyBorder="1" applyAlignment="1">
      <alignment vertical="top" wrapText="1"/>
    </xf>
    <xf numFmtId="1" fontId="7" fillId="0" borderId="1" xfId="0" applyNumberFormat="1" applyFont="1" applyBorder="1"/>
    <xf numFmtId="0" fontId="12" fillId="0" borderId="1" xfId="2" applyBorder="1" applyAlignment="1">
      <alignment vertical="top" wrapText="1"/>
    </xf>
    <xf numFmtId="0" fontId="13" fillId="0" borderId="0" xfId="0" applyFont="1"/>
    <xf numFmtId="0" fontId="14" fillId="0" borderId="0" xfId="0" applyFont="1"/>
    <xf numFmtId="0" fontId="14" fillId="6" borderId="0" xfId="0" applyFont="1" applyFill="1"/>
    <xf numFmtId="164" fontId="15" fillId="0" borderId="0" xfId="0" applyNumberFormat="1" applyFont="1"/>
    <xf numFmtId="0" fontId="16" fillId="2" borderId="0" xfId="0" applyFont="1" applyFill="1" applyAlignment="1">
      <alignment horizontal="left" vertical="center" indent="1"/>
    </xf>
    <xf numFmtId="0" fontId="17" fillId="6" borderId="0" xfId="0" applyFont="1" applyFill="1"/>
    <xf numFmtId="0" fontId="17" fillId="0" borderId="0" xfId="0" applyFont="1"/>
    <xf numFmtId="9" fontId="17" fillId="6" borderId="0" xfId="0" applyNumberFormat="1" applyFont="1" applyFill="1"/>
    <xf numFmtId="0" fontId="18" fillId="6" borderId="0" xfId="0" applyFont="1" applyFill="1"/>
    <xf numFmtId="0" fontId="19" fillId="2" borderId="1" xfId="0" applyFont="1" applyFill="1" applyBorder="1" applyAlignment="1">
      <alignment horizontal="center" vertical="center" wrapText="1"/>
    </xf>
    <xf numFmtId="0" fontId="13" fillId="6" borderId="0" xfId="0" applyFont="1" applyFill="1"/>
    <xf numFmtId="166" fontId="20" fillId="6" borderId="0" xfId="0" applyNumberFormat="1" applyFont="1" applyFill="1"/>
    <xf numFmtId="0" fontId="21" fillId="6" borderId="0" xfId="2" applyFont="1" applyFill="1"/>
    <xf numFmtId="166" fontId="22" fillId="6" borderId="0" xfId="0" applyNumberFormat="1" applyFont="1" applyFill="1"/>
    <xf numFmtId="0" fontId="15" fillId="6" borderId="0" xfId="0" applyFont="1" applyFill="1"/>
    <xf numFmtId="164" fontId="15" fillId="7" borderId="0" xfId="0" applyNumberFormat="1" applyFont="1" applyFill="1"/>
    <xf numFmtId="165" fontId="22" fillId="8" borderId="0" xfId="0" applyNumberFormat="1" applyFont="1" applyFill="1"/>
    <xf numFmtId="0" fontId="23" fillId="3" borderId="1" xfId="0" applyFont="1" applyFill="1" applyBorder="1"/>
    <xf numFmtId="166" fontId="20" fillId="0" borderId="0" xfId="0" applyNumberFormat="1" applyFont="1"/>
    <xf numFmtId="166" fontId="24" fillId="0" borderId="0" xfId="0" applyNumberFormat="1" applyFont="1"/>
    <xf numFmtId="164" fontId="24" fillId="0" borderId="0" xfId="0" applyNumberFormat="1" applyFont="1"/>
    <xf numFmtId="0" fontId="15" fillId="0" borderId="0" xfId="0" applyFont="1"/>
    <xf numFmtId="164" fontId="15" fillId="5" borderId="0" xfId="0" applyNumberFormat="1" applyFont="1" applyFill="1"/>
    <xf numFmtId="164" fontId="24" fillId="6" borderId="0" xfId="0" applyNumberFormat="1" applyFont="1" applyFill="1"/>
    <xf numFmtId="164" fontId="22" fillId="6" borderId="0" xfId="0" applyNumberFormat="1" applyFont="1" applyFill="1"/>
    <xf numFmtId="0" fontId="25" fillId="6" borderId="0" xfId="0" applyFont="1" applyFill="1"/>
    <xf numFmtId="0" fontId="21" fillId="5" borderId="0" xfId="2" applyFont="1" applyFill="1"/>
    <xf numFmtId="164" fontId="20" fillId="0" borderId="0" xfId="0" applyNumberFormat="1" applyFont="1"/>
    <xf numFmtId="0" fontId="21" fillId="0" borderId="0" xfId="2" applyFont="1"/>
    <xf numFmtId="0" fontId="17" fillId="5" borderId="0" xfId="0" applyFont="1" applyFill="1"/>
    <xf numFmtId="164" fontId="22" fillId="0" borderId="0" xfId="0" applyNumberFormat="1" applyFont="1"/>
    <xf numFmtId="164" fontId="17" fillId="0" borderId="0" xfId="0" applyNumberFormat="1" applyFont="1"/>
    <xf numFmtId="9" fontId="13" fillId="0" borderId="0" xfId="1" applyFont="1"/>
    <xf numFmtId="0" fontId="21" fillId="0" borderId="0" xfId="0" applyFont="1"/>
    <xf numFmtId="165" fontId="24" fillId="0" borderId="0" xfId="0" applyNumberFormat="1" applyFont="1"/>
    <xf numFmtId="0" fontId="26" fillId="0" borderId="0" xfId="0" applyFont="1" applyAlignment="1">
      <alignment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25" fillId="0" borderId="0" xfId="0" applyFont="1"/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CE4D6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444444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Annual Revenue vs Cost (AUD)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'Cost-Benefit Summary'!$C$3:$J$3</c:f>
              <c:strCache>
                <c:ptCount val="8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</c:strCache>
            </c:strRef>
          </c:cat>
          <c:val>
            <c:numRef>
              <c:f>'Cost-Benefit Summary'!$C$4:$J$4</c:f>
              <c:numCache>
                <c:formatCode>\$#,##0;"($"#,##0\);\-</c:formatCode>
                <c:ptCount val="8"/>
                <c:pt idx="0">
                  <c:v>264343.5</c:v>
                </c:pt>
                <c:pt idx="1">
                  <c:v>317212.2</c:v>
                </c:pt>
                <c:pt idx="2">
                  <c:v>761309.28</c:v>
                </c:pt>
                <c:pt idx="3">
                  <c:v>913571.13599999994</c:v>
                </c:pt>
                <c:pt idx="4">
                  <c:v>1096285.3632</c:v>
                </c:pt>
                <c:pt idx="5">
                  <c:v>3315542.4358399995</c:v>
                </c:pt>
                <c:pt idx="6">
                  <c:v>1700000</c:v>
                </c:pt>
                <c:pt idx="7">
                  <c:v>1700000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7-4FC3-90AB-75188F0528D7}"/>
            </c:ext>
          </c:extLst>
        </c:ser>
        <c:ser>
          <c:idx val="1"/>
          <c:order val="1"/>
          <c:tx>
            <c:v>Total Cost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'Cost-Benefit Summary'!$C$3:$J$3</c:f>
              <c:strCache>
                <c:ptCount val="8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</c:strCache>
            </c:strRef>
          </c:cat>
          <c:val>
            <c:numRef>
              <c:f>'Cost-Benefit Summary'!$C$5:$J$5</c:f>
              <c:numCache>
                <c:formatCode>\$#,##0;"($"#,##0\);\-</c:formatCode>
                <c:ptCount val="8"/>
                <c:pt idx="0">
                  <c:v>512200</c:v>
                </c:pt>
                <c:pt idx="1">
                  <c:v>527200</c:v>
                </c:pt>
                <c:pt idx="2">
                  <c:v>537200</c:v>
                </c:pt>
                <c:pt idx="3">
                  <c:v>572200</c:v>
                </c:pt>
                <c:pt idx="4">
                  <c:v>577200</c:v>
                </c:pt>
                <c:pt idx="5">
                  <c:v>567200</c:v>
                </c:pt>
                <c:pt idx="6">
                  <c:v>542200</c:v>
                </c:pt>
                <c:pt idx="7">
                  <c:v>542200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7-4FC3-90AB-75188F052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641"/>
        <c:axId val="83556912"/>
      </c:barChart>
      <c:catAx>
        <c:axId val="14326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3556912"/>
        <c:crosses val="autoZero"/>
        <c:auto val="1"/>
        <c:lblAlgn val="ctr"/>
        <c:lblOffset val="100"/>
        <c:noMultiLvlLbl val="0"/>
      </c:catAx>
      <c:valAx>
        <c:axId val="83556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1432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Cumulative Net Position (AUD)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Net Position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'Cost-Benefit Summary'!$C$3:$J$3</c:f>
              <c:strCache>
                <c:ptCount val="8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</c:strCache>
            </c:strRef>
          </c:cat>
          <c:val>
            <c:numRef>
              <c:f>'Cost-Benefit Summary'!$C$8:$J$8</c:f>
              <c:numCache>
                <c:formatCode>\$#,##0;"($"#,##0\);\-</c:formatCode>
                <c:ptCount val="8"/>
                <c:pt idx="0">
                  <c:v>-607856.5</c:v>
                </c:pt>
                <c:pt idx="1">
                  <c:v>-817844.3</c:v>
                </c:pt>
                <c:pt idx="2">
                  <c:v>-593735.02</c:v>
                </c:pt>
                <c:pt idx="3">
                  <c:v>-252363.88400000008</c:v>
                </c:pt>
                <c:pt idx="4">
                  <c:v>266721.47919999994</c:v>
                </c:pt>
                <c:pt idx="5">
                  <c:v>3015063.9150399994</c:v>
                </c:pt>
                <c:pt idx="6">
                  <c:v>4172863.9150399994</c:v>
                </c:pt>
                <c:pt idx="7">
                  <c:v>5330663.9150399994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7E-4C75-AA7E-37FD6D57B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098951"/>
        <c:axId val="66249763"/>
      </c:lineChart>
      <c:catAx>
        <c:axId val="23098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6249763"/>
        <c:crosses val="autoZero"/>
        <c:auto val="1"/>
        <c:lblAlgn val="ctr"/>
        <c:lblOffset val="100"/>
        <c:noMultiLvlLbl val="0"/>
      </c:catAx>
      <c:valAx>
        <c:axId val="66249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23098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7</xdr:col>
      <xdr:colOff>649950</xdr:colOff>
      <xdr:row>41</xdr:row>
      <xdr:rowOff>163365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7</xdr:col>
      <xdr:colOff>649950</xdr:colOff>
      <xdr:row>61</xdr:row>
      <xdr:rowOff>163005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ynoteck.com/blog-post/mobile-app-development-co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nationalcover.com.au/business-insurance-for-startups/" TargetMode="External"/><Relationship Id="rId1" Type="http://schemas.openxmlformats.org/officeDocument/2006/relationships/hyperlink" Target="https://www.cynoteck.com/blog-post/mobile-app-development-cos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tmarvel.com/en/blogs/1347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showGridLines="0" topLeftCell="A6" zoomScaleNormal="100" workbookViewId="0"/>
  </sheetViews>
  <sheetFormatPr baseColWidth="10" defaultColWidth="8.6640625" defaultRowHeight="14.25" x14ac:dyDescent="0.45"/>
  <cols>
    <col min="1" max="1" width="4" customWidth="1"/>
    <col min="2" max="2" width="38" customWidth="1"/>
    <col min="3" max="3" width="95" customWidth="1"/>
    <col min="4" max="4" width="4" customWidth="1"/>
  </cols>
  <sheetData>
    <row r="2" spans="2:3" ht="27.75" customHeight="1" x14ac:dyDescent="0.45">
      <c r="B2" s="1" t="s">
        <v>0</v>
      </c>
      <c r="C2" s="1"/>
    </row>
    <row r="4" spans="2:3" ht="60" customHeight="1" x14ac:dyDescent="0.45">
      <c r="B4" s="2" t="s">
        <v>1</v>
      </c>
      <c r="C4" s="3" t="s">
        <v>2</v>
      </c>
    </row>
    <row r="6" spans="2:3" x14ac:dyDescent="0.45">
      <c r="B6" s="2" t="s">
        <v>3</v>
      </c>
    </row>
    <row r="7" spans="2:3" ht="31.5" customHeight="1" x14ac:dyDescent="0.45">
      <c r="B7" s="2" t="s">
        <v>4</v>
      </c>
      <c r="C7" s="3" t="s">
        <v>5</v>
      </c>
    </row>
    <row r="8" spans="2:3" ht="31.5" customHeight="1" x14ac:dyDescent="0.45">
      <c r="B8" s="2" t="s">
        <v>6</v>
      </c>
      <c r="C8" s="3" t="s">
        <v>7</v>
      </c>
    </row>
    <row r="9" spans="2:3" ht="31.5" customHeight="1" x14ac:dyDescent="0.45">
      <c r="B9" s="2" t="s">
        <v>8</v>
      </c>
      <c r="C9" s="3" t="s">
        <v>9</v>
      </c>
    </row>
    <row r="10" spans="2:3" ht="31.5" customHeight="1" x14ac:dyDescent="0.45">
      <c r="B10" s="2" t="s">
        <v>10</v>
      </c>
      <c r="C10" s="3" t="s">
        <v>11</v>
      </c>
    </row>
    <row r="11" spans="2:3" ht="31.5" customHeight="1" x14ac:dyDescent="0.45">
      <c r="B11" s="2" t="s">
        <v>12</v>
      </c>
      <c r="C11" s="3" t="s">
        <v>13</v>
      </c>
    </row>
    <row r="12" spans="2:3" ht="31.5" customHeight="1" x14ac:dyDescent="0.45">
      <c r="B12" s="2" t="s">
        <v>14</v>
      </c>
      <c r="C12" s="3" t="s">
        <v>15</v>
      </c>
    </row>
    <row r="14" spans="2:3" ht="69.75" customHeight="1" x14ac:dyDescent="0.45">
      <c r="B14" s="2" t="s">
        <v>16</v>
      </c>
      <c r="C14" s="3" t="s">
        <v>17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2"/>
  <sheetViews>
    <sheetView showGridLines="0" zoomScaleNormal="100" workbookViewId="0">
      <pane xSplit="1" ySplit="4" topLeftCell="B25" activePane="bottomRight" state="frozen"/>
      <selection pane="topRight" activeCell="B1" sqref="B1"/>
      <selection pane="bottomLeft" activeCell="A5" sqref="A5"/>
      <selection pane="bottomRight" activeCell="E28" sqref="E28"/>
    </sheetView>
  </sheetViews>
  <sheetFormatPr baseColWidth="10" defaultColWidth="8.6640625" defaultRowHeight="14.25" x14ac:dyDescent="0.45"/>
  <cols>
    <col min="1" max="1" width="4" customWidth="1"/>
    <col min="2" max="2" width="28" customWidth="1"/>
    <col min="3" max="3" width="16" customWidth="1"/>
    <col min="4" max="4" width="38" customWidth="1"/>
    <col min="5" max="5" width="60" customWidth="1"/>
    <col min="6" max="6" width="4" customWidth="1"/>
  </cols>
  <sheetData>
    <row r="2" spans="2:5" ht="27.75" customHeight="1" x14ac:dyDescent="0.45">
      <c r="B2" s="1" t="s">
        <v>18</v>
      </c>
      <c r="C2" s="1"/>
      <c r="D2" s="1"/>
      <c r="E2" s="1"/>
    </row>
    <row r="4" spans="2:5" x14ac:dyDescent="0.45">
      <c r="B4" s="4" t="s">
        <v>19</v>
      </c>
      <c r="C4" s="4" t="s">
        <v>20</v>
      </c>
      <c r="D4" s="4" t="s">
        <v>21</v>
      </c>
      <c r="E4" s="4" t="s">
        <v>22</v>
      </c>
    </row>
    <row r="5" spans="2:5" ht="15.75" customHeight="1" x14ac:dyDescent="0.45">
      <c r="B5" s="5" t="s">
        <v>23</v>
      </c>
      <c r="C5" s="5"/>
      <c r="D5" s="5"/>
      <c r="E5" s="5"/>
    </row>
    <row r="6" spans="2:5" ht="45.75" customHeight="1" x14ac:dyDescent="0.45">
      <c r="B6" s="6" t="s">
        <v>24</v>
      </c>
      <c r="C6" s="28">
        <v>2027</v>
      </c>
      <c r="D6" s="8" t="s">
        <v>25</v>
      </c>
      <c r="E6" s="9" t="s">
        <v>26</v>
      </c>
    </row>
    <row r="7" spans="2:5" ht="45.75" customHeight="1" x14ac:dyDescent="0.45">
      <c r="B7" s="6" t="s">
        <v>27</v>
      </c>
      <c r="C7" s="10">
        <v>3</v>
      </c>
      <c r="D7" s="8" t="s">
        <v>28</v>
      </c>
      <c r="E7" s="9" t="s">
        <v>29</v>
      </c>
    </row>
    <row r="8" spans="2:5" ht="45.75" customHeight="1" x14ac:dyDescent="0.45">
      <c r="B8" s="6" t="s">
        <v>30</v>
      </c>
      <c r="C8" s="10">
        <v>20</v>
      </c>
      <c r="D8" s="8" t="s">
        <v>31</v>
      </c>
      <c r="E8" s="9" t="s">
        <v>32</v>
      </c>
    </row>
    <row r="9" spans="2:5" ht="45.75" customHeight="1" x14ac:dyDescent="0.45">
      <c r="B9" s="6" t="s">
        <v>33</v>
      </c>
      <c r="C9" s="10">
        <v>37</v>
      </c>
      <c r="D9" s="8" t="s">
        <v>34</v>
      </c>
      <c r="E9" s="9" t="s">
        <v>35</v>
      </c>
    </row>
    <row r="10" spans="2:5" ht="45.75" customHeight="1" x14ac:dyDescent="0.45">
      <c r="B10" s="6" t="s">
        <v>36</v>
      </c>
      <c r="C10" s="10">
        <v>17</v>
      </c>
      <c r="D10" s="8" t="s">
        <v>37</v>
      </c>
      <c r="E10" s="9" t="s">
        <v>35</v>
      </c>
    </row>
    <row r="11" spans="2:5" ht="45.75" customHeight="1" x14ac:dyDescent="0.45">
      <c r="B11" s="6" t="s">
        <v>38</v>
      </c>
      <c r="C11" s="7">
        <v>9500000</v>
      </c>
      <c r="D11" s="8" t="s">
        <v>39</v>
      </c>
      <c r="E11" s="9" t="s">
        <v>35</v>
      </c>
    </row>
    <row r="12" spans="2:5" ht="15.75" customHeight="1" x14ac:dyDescent="0.45">
      <c r="B12" s="5" t="s">
        <v>40</v>
      </c>
      <c r="C12" s="5"/>
      <c r="D12" s="5"/>
      <c r="E12" s="5"/>
    </row>
    <row r="13" spans="2:5" ht="45.75" customHeight="1" x14ac:dyDescent="0.45">
      <c r="B13" s="6" t="s">
        <v>41</v>
      </c>
      <c r="C13" s="10">
        <v>20</v>
      </c>
      <c r="D13" s="8" t="s">
        <v>42</v>
      </c>
      <c r="E13" s="9" t="s">
        <v>43</v>
      </c>
    </row>
    <row r="14" spans="2:5" ht="45.75" customHeight="1" x14ac:dyDescent="0.45">
      <c r="B14" s="6" t="s">
        <v>44</v>
      </c>
      <c r="C14" s="10">
        <v>1</v>
      </c>
      <c r="D14" s="8" t="s">
        <v>176</v>
      </c>
      <c r="E14" s="9" t="s">
        <v>45</v>
      </c>
    </row>
    <row r="15" spans="2:5" ht="45.75" customHeight="1" x14ac:dyDescent="0.45">
      <c r="B15" s="6" t="s">
        <v>46</v>
      </c>
      <c r="C15" s="7">
        <v>2000</v>
      </c>
      <c r="D15" s="8" t="s">
        <v>47</v>
      </c>
      <c r="E15" s="9" t="s">
        <v>48</v>
      </c>
    </row>
    <row r="16" spans="2:5" ht="45.75" customHeight="1" x14ac:dyDescent="0.45">
      <c r="B16" s="6" t="s">
        <v>49</v>
      </c>
      <c r="C16" s="7">
        <v>3000</v>
      </c>
      <c r="D16" s="8" t="s">
        <v>50</v>
      </c>
      <c r="E16" s="9" t="s">
        <v>51</v>
      </c>
    </row>
    <row r="17" spans="2:5" ht="45.75" customHeight="1" x14ac:dyDescent="0.45">
      <c r="B17" s="6" t="s">
        <v>52</v>
      </c>
      <c r="C17" s="7">
        <v>10000</v>
      </c>
      <c r="D17" s="8" t="s">
        <v>53</v>
      </c>
      <c r="E17" s="9" t="s">
        <v>54</v>
      </c>
    </row>
    <row r="18" spans="2:5" ht="15.75" customHeight="1" x14ac:dyDescent="0.45">
      <c r="B18" s="11" t="s">
        <v>55</v>
      </c>
      <c r="C18" s="11"/>
      <c r="D18" s="11"/>
      <c r="E18" s="11"/>
    </row>
    <row r="19" spans="2:5" ht="45.75" customHeight="1" x14ac:dyDescent="0.45">
      <c r="B19" s="12" t="s">
        <v>56</v>
      </c>
      <c r="C19" s="13">
        <v>0.2</v>
      </c>
      <c r="D19" s="14" t="s">
        <v>57</v>
      </c>
      <c r="E19" s="15" t="s">
        <v>58</v>
      </c>
    </row>
    <row r="20" spans="2:5" ht="45.75" customHeight="1" x14ac:dyDescent="0.45">
      <c r="B20" s="12" t="s">
        <v>59</v>
      </c>
      <c r="C20" s="13">
        <v>0.1</v>
      </c>
      <c r="D20" s="14" t="s">
        <v>60</v>
      </c>
      <c r="E20" s="15" t="s">
        <v>61</v>
      </c>
    </row>
    <row r="21" spans="2:5" ht="45.75" customHeight="1" x14ac:dyDescent="0.45">
      <c r="B21" s="6" t="s">
        <v>62</v>
      </c>
      <c r="C21" s="16">
        <v>0.2</v>
      </c>
      <c r="D21" s="8" t="s">
        <v>63</v>
      </c>
      <c r="E21" s="9" t="s">
        <v>64</v>
      </c>
    </row>
    <row r="22" spans="2:5" ht="45.75" customHeight="1" x14ac:dyDescent="0.45">
      <c r="B22" s="6" t="s">
        <v>65</v>
      </c>
      <c r="C22" s="10">
        <v>12</v>
      </c>
      <c r="D22" s="8" t="s">
        <v>66</v>
      </c>
      <c r="E22" s="9" t="s">
        <v>67</v>
      </c>
    </row>
    <row r="23" spans="2:5" ht="45.75" customHeight="1" x14ac:dyDescent="0.45">
      <c r="B23" s="6" t="s">
        <v>68</v>
      </c>
      <c r="C23" s="7">
        <v>500000</v>
      </c>
      <c r="D23" s="8" t="s">
        <v>69</v>
      </c>
      <c r="E23" s="9" t="s">
        <v>70</v>
      </c>
    </row>
    <row r="24" spans="2:5" ht="45.75" customHeight="1" x14ac:dyDescent="0.45">
      <c r="B24" s="6" t="s">
        <v>71</v>
      </c>
      <c r="C24" s="7">
        <v>500000</v>
      </c>
      <c r="D24" s="8" t="s">
        <v>72</v>
      </c>
      <c r="E24" s="9" t="s">
        <v>73</v>
      </c>
    </row>
    <row r="25" spans="2:5" ht="45.75" customHeight="1" x14ac:dyDescent="0.45">
      <c r="B25" s="6" t="s">
        <v>74</v>
      </c>
      <c r="C25" s="7">
        <v>300000</v>
      </c>
      <c r="D25" s="8" t="s">
        <v>75</v>
      </c>
      <c r="E25" s="9" t="s">
        <v>76</v>
      </c>
    </row>
    <row r="26" spans="2:5" ht="45.75" customHeight="1" x14ac:dyDescent="0.45">
      <c r="B26" s="6" t="s">
        <v>77</v>
      </c>
      <c r="C26" s="7">
        <v>400000</v>
      </c>
      <c r="D26" s="8" t="s">
        <v>78</v>
      </c>
      <c r="E26" s="9" t="s">
        <v>79</v>
      </c>
    </row>
    <row r="27" spans="2:5" ht="15.75" customHeight="1" x14ac:dyDescent="0.45">
      <c r="B27" s="5" t="s">
        <v>80</v>
      </c>
      <c r="C27" s="5"/>
      <c r="D27" s="5"/>
      <c r="E27" s="5"/>
    </row>
    <row r="28" spans="2:5" ht="45.75" customHeight="1" x14ac:dyDescent="0.45">
      <c r="B28" s="6" t="s">
        <v>81</v>
      </c>
      <c r="C28" s="7">
        <f>2*20*8*60</f>
        <v>19200</v>
      </c>
      <c r="D28" s="8" t="s">
        <v>82</v>
      </c>
      <c r="E28" s="9" t="s">
        <v>177</v>
      </c>
    </row>
    <row r="29" spans="2:5" ht="45.75" customHeight="1" x14ac:dyDescent="0.45">
      <c r="B29" s="6" t="s">
        <v>83</v>
      </c>
      <c r="C29" s="16">
        <v>0.2</v>
      </c>
      <c r="D29" s="8" t="s">
        <v>84</v>
      </c>
      <c r="E29" s="29" t="s">
        <v>185</v>
      </c>
    </row>
    <row r="30" spans="2:5" ht="45.75" customHeight="1" x14ac:dyDescent="0.45">
      <c r="B30" s="6" t="s">
        <v>178</v>
      </c>
      <c r="C30" s="7">
        <f>2*16*60</f>
        <v>1920</v>
      </c>
      <c r="D30" s="8"/>
      <c r="E30" s="9" t="s">
        <v>179</v>
      </c>
    </row>
    <row r="31" spans="2:5" ht="15.75" customHeight="1" x14ac:dyDescent="0.45">
      <c r="B31" s="5" t="s">
        <v>85</v>
      </c>
      <c r="C31" s="5"/>
      <c r="D31" s="5"/>
      <c r="E31" s="5"/>
    </row>
    <row r="32" spans="2:5" ht="45.75" customHeight="1" x14ac:dyDescent="0.45">
      <c r="B32" s="6" t="s">
        <v>86</v>
      </c>
      <c r="C32" s="16">
        <v>0.15</v>
      </c>
      <c r="D32" s="8" t="s">
        <v>87</v>
      </c>
      <c r="E32" s="9" t="s">
        <v>88</v>
      </c>
    </row>
  </sheetData>
  <mergeCells count="1">
    <mergeCell ref="B2:E2"/>
  </mergeCells>
  <hyperlinks>
    <hyperlink ref="E29" r:id="rId1" xr:uid="{8739DFB0-C6C4-4B98-A17E-B968A11B1536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showGridLines="0" zoomScale="89" zoomScaleNormal="100" workbookViewId="0">
      <pane xSplit="1" ySplit="3" topLeftCell="I4" activePane="bottomRight" state="frozen"/>
      <selection pane="topRight" activeCell="C1" sqref="C1"/>
      <selection pane="bottomLeft" activeCell="A5" sqref="A5"/>
      <selection pane="bottomRight" activeCell="L2" sqref="L2:L13"/>
    </sheetView>
  </sheetViews>
  <sheetFormatPr baseColWidth="10" defaultColWidth="8.6640625" defaultRowHeight="13.5" x14ac:dyDescent="0.35"/>
  <cols>
    <col min="1" max="1" width="34" style="36" customWidth="1"/>
    <col min="2" max="2" width="14.33203125" style="36" customWidth="1"/>
    <col min="3" max="11" width="13" style="36" customWidth="1"/>
    <col min="12" max="12" width="42" style="36" customWidth="1"/>
    <col min="13" max="13" width="4" style="36" customWidth="1"/>
    <col min="14" max="16384" width="8.6640625" style="36"/>
  </cols>
  <sheetData>
    <row r="1" spans="1:12" ht="27.75" customHeight="1" x14ac:dyDescent="0.35">
      <c r="A1" s="34" t="s">
        <v>89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3" spans="1:12" ht="18" customHeight="1" x14ac:dyDescent="0.35">
      <c r="A3" s="39" t="s">
        <v>90</v>
      </c>
      <c r="B3" s="39">
        <v>2026</v>
      </c>
      <c r="C3" s="39" t="s">
        <v>91</v>
      </c>
      <c r="D3" s="39" t="s">
        <v>92</v>
      </c>
      <c r="E3" s="39" t="s">
        <v>93</v>
      </c>
      <c r="F3" s="39" t="s">
        <v>94</v>
      </c>
      <c r="G3" s="39" t="s">
        <v>95</v>
      </c>
      <c r="H3" s="39" t="s">
        <v>96</v>
      </c>
      <c r="I3" s="39" t="s">
        <v>97</v>
      </c>
      <c r="J3" s="39" t="s">
        <v>98</v>
      </c>
      <c r="K3" s="39">
        <v>2035</v>
      </c>
      <c r="L3" s="39" t="s">
        <v>99</v>
      </c>
    </row>
    <row r="4" spans="1:12" ht="13.9" x14ac:dyDescent="0.4">
      <c r="A4" s="51" t="s">
        <v>100</v>
      </c>
      <c r="B4" s="52">
        <v>76000</v>
      </c>
      <c r="C4" s="52"/>
      <c r="D4" s="52"/>
      <c r="E4" s="52"/>
      <c r="F4" s="52"/>
      <c r="G4" s="52"/>
      <c r="H4" s="52"/>
      <c r="I4" s="52"/>
      <c r="J4" s="52"/>
      <c r="K4" s="52"/>
      <c r="L4" s="56" t="s">
        <v>185</v>
      </c>
    </row>
    <row r="6" spans="1:12" x14ac:dyDescent="0.35">
      <c r="A6" s="30" t="s">
        <v>101</v>
      </c>
      <c r="B6" s="50">
        <v>2000</v>
      </c>
      <c r="C6" s="50">
        <f>$B$4*Assumptions!$C$29</f>
        <v>15200</v>
      </c>
      <c r="D6" s="50">
        <f>$B$4*Assumptions!$C$29</f>
        <v>15200</v>
      </c>
      <c r="E6" s="50">
        <f>$B$4*Assumptions!$C$29</f>
        <v>15200</v>
      </c>
      <c r="F6" s="50">
        <f>$B$4*Assumptions!$C$29</f>
        <v>15200</v>
      </c>
      <c r="G6" s="50">
        <f>$B$4*Assumptions!$C$29</f>
        <v>15200</v>
      </c>
      <c r="H6" s="50">
        <f>$B$4*Assumptions!$C$29</f>
        <v>15200</v>
      </c>
      <c r="I6" s="50">
        <f>$B$4*Assumptions!$C$29</f>
        <v>15200</v>
      </c>
      <c r="J6" s="50">
        <f>$B$4*Assumptions!$C$29</f>
        <v>15200</v>
      </c>
      <c r="K6" s="50">
        <f>$B$4*Assumptions!$C$29</f>
        <v>15200</v>
      </c>
      <c r="L6" s="31" t="s">
        <v>186</v>
      </c>
    </row>
    <row r="8" spans="1:12" x14ac:dyDescent="0.35">
      <c r="A8" s="30" t="s">
        <v>195</v>
      </c>
      <c r="B8" s="57">
        <v>20000</v>
      </c>
      <c r="C8" s="57">
        <v>20000</v>
      </c>
      <c r="D8" s="57">
        <v>20000</v>
      </c>
      <c r="E8" s="57">
        <v>20000</v>
      </c>
      <c r="F8" s="57">
        <v>20000</v>
      </c>
      <c r="G8" s="57">
        <v>20000</v>
      </c>
      <c r="H8" s="57">
        <v>70000</v>
      </c>
      <c r="I8" s="57">
        <v>40000</v>
      </c>
      <c r="J8" s="57">
        <v>40000</v>
      </c>
      <c r="K8" s="57">
        <v>40000</v>
      </c>
      <c r="L8" s="31" t="s">
        <v>192</v>
      </c>
    </row>
    <row r="9" spans="1:12" x14ac:dyDescent="0.35">
      <c r="A9" s="30" t="s">
        <v>102</v>
      </c>
      <c r="B9" s="57">
        <v>15000</v>
      </c>
      <c r="C9" s="57">
        <v>15000</v>
      </c>
      <c r="D9" s="57">
        <v>20000</v>
      </c>
      <c r="E9" s="57">
        <v>20000</v>
      </c>
      <c r="F9" s="57">
        <v>35000</v>
      </c>
      <c r="G9" s="57">
        <v>50000</v>
      </c>
      <c r="H9" s="57">
        <v>50000</v>
      </c>
      <c r="I9" s="57">
        <v>35000</v>
      </c>
      <c r="J9" s="57">
        <v>35000</v>
      </c>
      <c r="K9" s="57">
        <v>35000</v>
      </c>
      <c r="L9" s="31" t="s">
        <v>194</v>
      </c>
    </row>
    <row r="10" spans="1:12" x14ac:dyDescent="0.35">
      <c r="A10" s="30" t="s">
        <v>197</v>
      </c>
      <c r="B10" s="57">
        <v>2000</v>
      </c>
      <c r="C10" s="57">
        <v>2000</v>
      </c>
      <c r="D10" s="57">
        <v>2000</v>
      </c>
      <c r="E10" s="57">
        <v>2000</v>
      </c>
      <c r="F10" s="57">
        <v>2000</v>
      </c>
      <c r="G10" s="57">
        <v>2000</v>
      </c>
      <c r="H10" s="57">
        <v>2000</v>
      </c>
      <c r="I10" s="57">
        <v>2000</v>
      </c>
      <c r="J10" s="57">
        <v>2000</v>
      </c>
      <c r="K10" s="57">
        <v>2000</v>
      </c>
      <c r="L10" s="58" t="s">
        <v>209</v>
      </c>
    </row>
    <row r="11" spans="1:12" x14ac:dyDescent="0.35">
      <c r="A11" s="30" t="s">
        <v>103</v>
      </c>
      <c r="B11" s="57">
        <v>30000</v>
      </c>
      <c r="C11" s="57">
        <v>30000</v>
      </c>
      <c r="D11" s="57">
        <v>40000</v>
      </c>
      <c r="E11" s="57">
        <v>50000</v>
      </c>
      <c r="F11" s="57">
        <v>70000</v>
      </c>
      <c r="G11" s="57">
        <v>60000</v>
      </c>
      <c r="H11" s="57">
        <v>0</v>
      </c>
      <c r="I11" s="57">
        <v>20000</v>
      </c>
      <c r="J11" s="57">
        <v>20000</v>
      </c>
      <c r="K11" s="57">
        <v>20000</v>
      </c>
      <c r="L11" s="31" t="s">
        <v>104</v>
      </c>
    </row>
    <row r="12" spans="1:12" x14ac:dyDescent="0.35">
      <c r="A12" s="30" t="s">
        <v>193</v>
      </c>
      <c r="B12" s="57">
        <f>C12/2</f>
        <v>200000</v>
      </c>
      <c r="C12" s="57">
        <f>5*80000</f>
        <v>400000</v>
      </c>
      <c r="D12" s="57">
        <f t="shared" ref="D12:K12" si="0">5*80000</f>
        <v>400000</v>
      </c>
      <c r="E12" s="57">
        <f t="shared" si="0"/>
        <v>400000</v>
      </c>
      <c r="F12" s="57">
        <f t="shared" si="0"/>
        <v>400000</v>
      </c>
      <c r="G12" s="57">
        <f t="shared" si="0"/>
        <v>400000</v>
      </c>
      <c r="H12" s="57">
        <f t="shared" si="0"/>
        <v>400000</v>
      </c>
      <c r="I12" s="57">
        <f t="shared" si="0"/>
        <v>400000</v>
      </c>
      <c r="J12" s="57">
        <f t="shared" si="0"/>
        <v>400000</v>
      </c>
      <c r="K12" s="57">
        <f t="shared" si="0"/>
        <v>400000</v>
      </c>
      <c r="L12" s="31" t="s">
        <v>105</v>
      </c>
    </row>
    <row r="13" spans="1:12" x14ac:dyDescent="0.35">
      <c r="A13" s="30" t="s">
        <v>203</v>
      </c>
      <c r="B13" s="57">
        <f>5*500*6</f>
        <v>15000</v>
      </c>
      <c r="C13" s="57">
        <f>5*500*12</f>
        <v>30000</v>
      </c>
      <c r="D13" s="57">
        <f t="shared" ref="D13:K13" si="1">5*500*12</f>
        <v>30000</v>
      </c>
      <c r="E13" s="57">
        <f t="shared" si="1"/>
        <v>30000</v>
      </c>
      <c r="F13" s="57">
        <f t="shared" si="1"/>
        <v>30000</v>
      </c>
      <c r="G13" s="57">
        <f t="shared" si="1"/>
        <v>30000</v>
      </c>
      <c r="H13" s="57">
        <f t="shared" si="1"/>
        <v>30000</v>
      </c>
      <c r="I13" s="57">
        <f t="shared" si="1"/>
        <v>30000</v>
      </c>
      <c r="J13" s="57">
        <f t="shared" si="1"/>
        <v>30000</v>
      </c>
      <c r="K13" s="57">
        <f t="shared" si="1"/>
        <v>30000</v>
      </c>
      <c r="L13" s="31" t="s">
        <v>196</v>
      </c>
    </row>
    <row r="14" spans="1:12" x14ac:dyDescent="0.35">
      <c r="A14" s="30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31"/>
    </row>
    <row r="16" spans="1:12" ht="13.9" x14ac:dyDescent="0.4">
      <c r="A16" s="51" t="s">
        <v>106</v>
      </c>
      <c r="B16" s="52">
        <f>SUM(B4:B13)</f>
        <v>360000</v>
      </c>
      <c r="C16" s="52">
        <f t="shared" ref="C16:J16" si="2">SUM(C4:C13)</f>
        <v>512200</v>
      </c>
      <c r="D16" s="52">
        <f t="shared" si="2"/>
        <v>527200</v>
      </c>
      <c r="E16" s="52">
        <f t="shared" si="2"/>
        <v>537200</v>
      </c>
      <c r="F16" s="52">
        <f t="shared" si="2"/>
        <v>572200</v>
      </c>
      <c r="G16" s="52">
        <f t="shared" si="2"/>
        <v>577200</v>
      </c>
      <c r="H16" s="52">
        <f t="shared" si="2"/>
        <v>567200</v>
      </c>
      <c r="I16" s="52">
        <f t="shared" si="2"/>
        <v>542200</v>
      </c>
      <c r="J16" s="52">
        <f t="shared" si="2"/>
        <v>542200</v>
      </c>
      <c r="K16" s="52">
        <f t="shared" ref="K16" si="3">SUM(K4:K13)</f>
        <v>542200</v>
      </c>
      <c r="L16" s="59"/>
    </row>
  </sheetData>
  <mergeCells count="1">
    <mergeCell ref="A1:L1"/>
  </mergeCells>
  <hyperlinks>
    <hyperlink ref="L4" r:id="rId1" xr:uid="{111DA89B-0705-406A-8FA1-A585CC8E3689}"/>
    <hyperlink ref="L10" r:id="rId2" xr:uid="{A2B3516B-286A-403C-90B8-806BB340B2FB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32"/>
  <sheetViews>
    <sheetView showGridLines="0" zoomScale="8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baseColWidth="10" defaultColWidth="8.6640625" defaultRowHeight="14.25" x14ac:dyDescent="0.45"/>
  <cols>
    <col min="1" max="1" width="4" customWidth="1"/>
    <col min="2" max="2" width="38" customWidth="1"/>
    <col min="3" max="10" width="13" customWidth="1"/>
    <col min="11" max="11" width="42" customWidth="1"/>
    <col min="12" max="12" width="4" customWidth="1"/>
  </cols>
  <sheetData>
    <row r="2" spans="2:11" ht="27.75" customHeight="1" x14ac:dyDescent="0.45">
      <c r="B2" s="1" t="s">
        <v>107</v>
      </c>
      <c r="C2" s="1"/>
      <c r="D2" s="1"/>
      <c r="E2" s="1"/>
      <c r="F2" s="1"/>
      <c r="G2" s="1"/>
      <c r="H2" s="1"/>
      <c r="I2" s="1"/>
      <c r="J2" s="1"/>
      <c r="K2" s="1"/>
    </row>
    <row r="4" spans="2:11" ht="18" customHeight="1" x14ac:dyDescent="0.45">
      <c r="B4" s="4" t="s">
        <v>108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97</v>
      </c>
      <c r="J4" s="4" t="s">
        <v>98</v>
      </c>
      <c r="K4" s="4" t="s">
        <v>99</v>
      </c>
    </row>
    <row r="5" spans="2:11" x14ac:dyDescent="0.45">
      <c r="B5" s="17" t="s">
        <v>109</v>
      </c>
      <c r="C5" s="22">
        <v>3</v>
      </c>
      <c r="D5" s="22">
        <v>6</v>
      </c>
      <c r="E5" s="22">
        <v>10</v>
      </c>
      <c r="F5" s="22">
        <v>15</v>
      </c>
      <c r="G5" s="22">
        <v>20</v>
      </c>
      <c r="H5" s="22">
        <v>0</v>
      </c>
      <c r="I5" s="22">
        <v>0</v>
      </c>
      <c r="J5" s="22">
        <v>0</v>
      </c>
      <c r="K5" s="20" t="s">
        <v>110</v>
      </c>
    </row>
    <row r="6" spans="2:11" x14ac:dyDescent="0.45">
      <c r="B6" s="17" t="s">
        <v>41</v>
      </c>
      <c r="C6" s="23">
        <f>Assumptions!$C$13</f>
        <v>20</v>
      </c>
      <c r="D6" s="23">
        <f>Assumptions!$C$13</f>
        <v>20</v>
      </c>
      <c r="E6" s="23">
        <f>Assumptions!$C$13</f>
        <v>20</v>
      </c>
      <c r="F6" s="23">
        <f>Assumptions!$C$13</f>
        <v>20</v>
      </c>
      <c r="G6" s="23">
        <f>Assumptions!$C$13</f>
        <v>20</v>
      </c>
      <c r="H6" s="23">
        <f>Assumptions!$C$13</f>
        <v>20</v>
      </c>
      <c r="I6" s="23">
        <f>Assumptions!$C$13</f>
        <v>20</v>
      </c>
      <c r="J6" s="23">
        <f>Assumptions!$C$13</f>
        <v>20</v>
      </c>
      <c r="K6" s="20" t="s">
        <v>111</v>
      </c>
    </row>
    <row r="7" spans="2:11" x14ac:dyDescent="0.45">
      <c r="B7" s="17" t="s">
        <v>112</v>
      </c>
      <c r="C7" s="22">
        <v>0</v>
      </c>
      <c r="D7" s="22">
        <v>70</v>
      </c>
      <c r="E7" s="22">
        <v>25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0" t="s">
        <v>113</v>
      </c>
    </row>
    <row r="8" spans="2:11" x14ac:dyDescent="0.45">
      <c r="B8" s="17" t="s">
        <v>114</v>
      </c>
      <c r="C8" s="23">
        <f>Assumptions!$C$14</f>
        <v>1</v>
      </c>
      <c r="D8" s="23">
        <f>Assumptions!$C$14</f>
        <v>1</v>
      </c>
      <c r="E8" s="23">
        <f>Assumptions!$C$14</f>
        <v>1</v>
      </c>
      <c r="F8" s="23">
        <f>Assumptions!$C$14</f>
        <v>1</v>
      </c>
      <c r="G8" s="23">
        <f>Assumptions!$C$14</f>
        <v>1</v>
      </c>
      <c r="H8" s="23">
        <f>Assumptions!$C$14</f>
        <v>1</v>
      </c>
      <c r="I8" s="23">
        <f>Assumptions!$C$14</f>
        <v>1</v>
      </c>
      <c r="J8" s="23">
        <f>Assumptions!$C$14</f>
        <v>1</v>
      </c>
    </row>
    <row r="9" spans="2:11" x14ac:dyDescent="0.45">
      <c r="B9" s="17" t="s">
        <v>115</v>
      </c>
      <c r="C9" s="18">
        <f>Assumptions!$C$15</f>
        <v>2000</v>
      </c>
      <c r="D9" s="18">
        <f>Assumptions!$C$16</f>
        <v>3000</v>
      </c>
      <c r="E9" s="18">
        <f>Assumptions!$C$16</f>
        <v>3000</v>
      </c>
      <c r="F9" s="18">
        <f>Assumptions!$C$16</f>
        <v>3000</v>
      </c>
      <c r="G9" s="18">
        <f>Assumptions!$C$16</f>
        <v>3000</v>
      </c>
      <c r="H9" s="18">
        <f>Assumptions!$C$17</f>
        <v>10000</v>
      </c>
      <c r="I9" s="18">
        <f>Assumptions!$C$16</f>
        <v>3000</v>
      </c>
      <c r="J9" s="18">
        <f>Assumptions!$C$16</f>
        <v>3000</v>
      </c>
      <c r="K9" s="20" t="s">
        <v>116</v>
      </c>
    </row>
    <row r="10" spans="2:11" x14ac:dyDescent="0.45">
      <c r="B10" s="17" t="s">
        <v>117</v>
      </c>
      <c r="C10" s="19">
        <f t="shared" ref="C10:J10" si="0">C5*C6*C8*C9</f>
        <v>120000</v>
      </c>
      <c r="D10" s="19">
        <f t="shared" si="0"/>
        <v>360000</v>
      </c>
      <c r="E10" s="19">
        <f t="shared" si="0"/>
        <v>600000</v>
      </c>
      <c r="F10" s="19">
        <f t="shared" si="0"/>
        <v>900000</v>
      </c>
      <c r="G10" s="19">
        <f t="shared" si="0"/>
        <v>1200000</v>
      </c>
      <c r="H10" s="19">
        <f t="shared" si="0"/>
        <v>0</v>
      </c>
      <c r="I10" s="19">
        <f t="shared" si="0"/>
        <v>0</v>
      </c>
      <c r="J10" s="19">
        <f t="shared" si="0"/>
        <v>0</v>
      </c>
    </row>
    <row r="11" spans="2:11" x14ac:dyDescent="0.45">
      <c r="B11" s="17" t="s">
        <v>118</v>
      </c>
      <c r="C11" s="19">
        <f t="shared" ref="C11:J11" si="1">C7*C8*C9</f>
        <v>0</v>
      </c>
      <c r="D11" s="19">
        <f t="shared" si="1"/>
        <v>210000</v>
      </c>
      <c r="E11" s="19">
        <f t="shared" si="1"/>
        <v>75000</v>
      </c>
      <c r="F11" s="19">
        <f t="shared" si="1"/>
        <v>0</v>
      </c>
      <c r="G11" s="19">
        <f t="shared" si="1"/>
        <v>0</v>
      </c>
      <c r="H11" s="19">
        <f t="shared" si="1"/>
        <v>0</v>
      </c>
      <c r="I11" s="19">
        <f t="shared" si="1"/>
        <v>0</v>
      </c>
      <c r="J11" s="19">
        <f t="shared" si="1"/>
        <v>0</v>
      </c>
    </row>
    <row r="12" spans="2:11" x14ac:dyDescent="0.45">
      <c r="B12" s="17" t="s">
        <v>119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8">
        <f>Assumptions!$C$9*Assumptions!$C$10*Assumptions!$C$14*Assumptions!$C$17</f>
        <v>6290000</v>
      </c>
      <c r="I12" s="19">
        <v>0</v>
      </c>
      <c r="J12" s="19">
        <v>0</v>
      </c>
    </row>
    <row r="13" spans="2:11" x14ac:dyDescent="0.45">
      <c r="B13" s="2" t="s">
        <v>120</v>
      </c>
      <c r="C13" s="21">
        <f t="shared" ref="C13:J13" si="2">SUM(C10:C12)</f>
        <v>120000</v>
      </c>
      <c r="D13" s="21">
        <f t="shared" si="2"/>
        <v>570000</v>
      </c>
      <c r="E13" s="21">
        <f t="shared" si="2"/>
        <v>675000</v>
      </c>
      <c r="F13" s="21">
        <f t="shared" si="2"/>
        <v>900000</v>
      </c>
      <c r="G13" s="21">
        <f t="shared" si="2"/>
        <v>1200000</v>
      </c>
      <c r="H13" s="21">
        <f t="shared" si="2"/>
        <v>6290000</v>
      </c>
      <c r="I13" s="21">
        <f t="shared" si="2"/>
        <v>0</v>
      </c>
      <c r="J13" s="21">
        <f t="shared" si="2"/>
        <v>0</v>
      </c>
    </row>
    <row r="15" spans="2:11" x14ac:dyDescent="0.45">
      <c r="B15" s="17" t="s">
        <v>121</v>
      </c>
      <c r="C15" s="24">
        <f>Assumptions!$C$19</f>
        <v>0.2</v>
      </c>
      <c r="D15" s="24">
        <f>Assumptions!$C$19</f>
        <v>0.2</v>
      </c>
      <c r="E15" s="24">
        <f>Assumptions!$C$19</f>
        <v>0.2</v>
      </c>
      <c r="F15" s="24">
        <f>Assumptions!$C$19</f>
        <v>0.2</v>
      </c>
      <c r="G15" s="24">
        <f>Assumptions!$C$19</f>
        <v>0.2</v>
      </c>
      <c r="H15" s="24">
        <f>Assumptions!$C$19</f>
        <v>0.2</v>
      </c>
      <c r="I15" s="24">
        <f>Assumptions!$C$19</f>
        <v>0.2</v>
      </c>
      <c r="J15" s="24">
        <f>Assumptions!$C$19</f>
        <v>0.2</v>
      </c>
      <c r="K15" s="20" t="s">
        <v>122</v>
      </c>
    </row>
    <row r="16" spans="2:11" x14ac:dyDescent="0.45">
      <c r="B16" s="2" t="s">
        <v>123</v>
      </c>
      <c r="C16" s="21">
        <f t="shared" ref="C16:J16" si="3">C13*C15</f>
        <v>24000</v>
      </c>
      <c r="D16" s="21">
        <f t="shared" si="3"/>
        <v>114000</v>
      </c>
      <c r="E16" s="21">
        <f t="shared" si="3"/>
        <v>135000</v>
      </c>
      <c r="F16" s="21">
        <f t="shared" si="3"/>
        <v>180000</v>
      </c>
      <c r="G16" s="21">
        <f t="shared" si="3"/>
        <v>240000</v>
      </c>
      <c r="H16" s="21">
        <f t="shared" si="3"/>
        <v>1258000</v>
      </c>
      <c r="I16" s="21">
        <f t="shared" si="3"/>
        <v>0</v>
      </c>
      <c r="J16" s="21">
        <f t="shared" si="3"/>
        <v>0</v>
      </c>
    </row>
    <row r="18" spans="2:11" x14ac:dyDescent="0.45">
      <c r="B18" s="5" t="s">
        <v>124</v>
      </c>
      <c r="C18" s="5"/>
      <c r="D18" s="5"/>
      <c r="E18" s="5"/>
      <c r="F18" s="5"/>
      <c r="G18" s="5"/>
      <c r="H18" s="5"/>
      <c r="I18" s="5"/>
      <c r="J18" s="5"/>
      <c r="K18" s="5"/>
    </row>
    <row r="19" spans="2:11" x14ac:dyDescent="0.45">
      <c r="B19" s="17" t="s">
        <v>125</v>
      </c>
      <c r="C19" s="22">
        <v>1500</v>
      </c>
      <c r="D19" s="22">
        <v>2500</v>
      </c>
      <c r="E19" s="22">
        <v>3500</v>
      </c>
      <c r="F19" s="22">
        <v>5000</v>
      </c>
      <c r="G19" s="22">
        <v>7000</v>
      </c>
      <c r="H19" s="22">
        <v>25000</v>
      </c>
      <c r="I19" s="22">
        <v>0</v>
      </c>
      <c r="J19" s="22">
        <v>0</v>
      </c>
      <c r="K19" s="20" t="s">
        <v>126</v>
      </c>
    </row>
    <row r="20" spans="2:11" x14ac:dyDescent="0.45">
      <c r="B20" s="17" t="s">
        <v>127</v>
      </c>
      <c r="C20" s="25">
        <f>(C5*C6+C7)*C8</f>
        <v>60</v>
      </c>
      <c r="D20" s="25">
        <f>(D5*D6+D7)*D8</f>
        <v>190</v>
      </c>
      <c r="E20" s="25">
        <f>(E5*E6+E7)*E8</f>
        <v>225</v>
      </c>
      <c r="F20" s="25">
        <f>(F5*F6+F7)*F8</f>
        <v>300</v>
      </c>
      <c r="G20" s="25">
        <f>(G5*G6+G7)*G8</f>
        <v>400</v>
      </c>
      <c r="H20" s="25">
        <f>Assumptions!$C$9*Assumptions!$C$10*Assumptions!$C$14</f>
        <v>629</v>
      </c>
      <c r="I20" s="25">
        <f>(I5*I6+I7)*I8</f>
        <v>0</v>
      </c>
      <c r="J20" s="25">
        <f>(J5*J6+J7)*J8</f>
        <v>0</v>
      </c>
    </row>
    <row r="21" spans="2:11" x14ac:dyDescent="0.45">
      <c r="B21" s="17" t="s">
        <v>128</v>
      </c>
      <c r="C21" s="25">
        <f>C20*C19*Assumptions!$C$21</f>
        <v>18000</v>
      </c>
      <c r="D21" s="25">
        <f>D20*D19*Assumptions!$C$21</f>
        <v>95000</v>
      </c>
      <c r="E21" s="25">
        <f>E20*E19*Assumptions!$C$21</f>
        <v>157500</v>
      </c>
      <c r="F21" s="25">
        <f>F20*F19*Assumptions!$C$21</f>
        <v>300000</v>
      </c>
      <c r="G21" s="25">
        <f>G20*G19*Assumptions!$C$21</f>
        <v>560000</v>
      </c>
      <c r="H21" s="25">
        <f>H20*H19*Assumptions!$C$21</f>
        <v>3145000</v>
      </c>
      <c r="I21" s="25">
        <f>I20*I19*Assumptions!$C$21</f>
        <v>0</v>
      </c>
      <c r="J21" s="25">
        <f>J20*J19*Assumptions!$C$21</f>
        <v>0</v>
      </c>
    </row>
    <row r="22" spans="2:11" x14ac:dyDescent="0.45">
      <c r="B22" s="17" t="s">
        <v>129</v>
      </c>
      <c r="C22" s="19">
        <f>C21*Assumptions!$C$22</f>
        <v>216000</v>
      </c>
      <c r="D22" s="19">
        <f>D21*Assumptions!$C$22</f>
        <v>1140000</v>
      </c>
      <c r="E22" s="19">
        <f>E21*Assumptions!$C$22</f>
        <v>1890000</v>
      </c>
      <c r="F22" s="19">
        <f>F21*Assumptions!$C$22</f>
        <v>3600000</v>
      </c>
      <c r="G22" s="19">
        <f>G21*Assumptions!$C$22</f>
        <v>6720000</v>
      </c>
      <c r="H22" s="19">
        <f>H21*Assumptions!$C$22</f>
        <v>37740000</v>
      </c>
      <c r="I22" s="19">
        <f>I21*Assumptions!$C$22</f>
        <v>0</v>
      </c>
      <c r="J22" s="19">
        <f>J21*Assumptions!$C$22</f>
        <v>0</v>
      </c>
    </row>
    <row r="23" spans="2:11" x14ac:dyDescent="0.45">
      <c r="B23" s="2" t="s">
        <v>130</v>
      </c>
      <c r="C23" s="21">
        <f>C22*Assumptions!$C$20</f>
        <v>21600</v>
      </c>
      <c r="D23" s="21">
        <f>D22*Assumptions!$C$20</f>
        <v>114000</v>
      </c>
      <c r="E23" s="21">
        <f>E22*Assumptions!$C$20</f>
        <v>189000</v>
      </c>
      <c r="F23" s="21">
        <f>F22*Assumptions!$C$20</f>
        <v>360000</v>
      </c>
      <c r="G23" s="21">
        <f>G22*Assumptions!$C$20</f>
        <v>672000</v>
      </c>
      <c r="H23" s="21">
        <f>H22*Assumptions!$C$20</f>
        <v>3774000</v>
      </c>
      <c r="I23" s="21">
        <f>I22*Assumptions!$C$20</f>
        <v>0</v>
      </c>
      <c r="J23" s="21">
        <f>J22*Assumptions!$C$20</f>
        <v>0</v>
      </c>
    </row>
    <row r="25" spans="2:11" x14ac:dyDescent="0.45">
      <c r="B25" s="5" t="s">
        <v>131</v>
      </c>
      <c r="C25" s="5"/>
      <c r="D25" s="5"/>
      <c r="E25" s="5"/>
      <c r="F25" s="5"/>
      <c r="G25" s="5"/>
      <c r="H25" s="5"/>
      <c r="I25" s="5"/>
      <c r="J25" s="5"/>
      <c r="K25" s="5"/>
    </row>
    <row r="26" spans="2:11" x14ac:dyDescent="0.45">
      <c r="B26" s="17" t="s">
        <v>132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8">
        <f>Assumptions!$C$23</f>
        <v>500000</v>
      </c>
      <c r="J26" s="18">
        <f>Assumptions!$C$23</f>
        <v>500000</v>
      </c>
    </row>
    <row r="27" spans="2:11" x14ac:dyDescent="0.45">
      <c r="B27" s="17" t="s">
        <v>133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8">
        <f>Assumptions!$C$24</f>
        <v>500000</v>
      </c>
      <c r="J27" s="18">
        <f>Assumptions!$C$24</f>
        <v>500000</v>
      </c>
    </row>
    <row r="28" spans="2:11" x14ac:dyDescent="0.45">
      <c r="B28" s="17" t="s">
        <v>134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8">
        <f>Assumptions!$C$25</f>
        <v>300000</v>
      </c>
      <c r="J28" s="18">
        <f>Assumptions!$C$25</f>
        <v>300000</v>
      </c>
    </row>
    <row r="29" spans="2:11" x14ac:dyDescent="0.45">
      <c r="B29" s="17" t="s">
        <v>135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8">
        <f>Assumptions!$C$26</f>
        <v>400000</v>
      </c>
      <c r="J29" s="18">
        <f>Assumptions!$C$26</f>
        <v>400000</v>
      </c>
    </row>
    <row r="30" spans="2:11" x14ac:dyDescent="0.45">
      <c r="B30" s="2" t="s">
        <v>136</v>
      </c>
      <c r="C30" s="21">
        <f t="shared" ref="C30:J30" si="4">SUM(C26:C29)</f>
        <v>0</v>
      </c>
      <c r="D30" s="21">
        <f t="shared" si="4"/>
        <v>0</v>
      </c>
      <c r="E30" s="21">
        <f t="shared" si="4"/>
        <v>0</v>
      </c>
      <c r="F30" s="21">
        <f t="shared" si="4"/>
        <v>0</v>
      </c>
      <c r="G30" s="21">
        <f t="shared" si="4"/>
        <v>0</v>
      </c>
      <c r="H30" s="21">
        <f t="shared" si="4"/>
        <v>0</v>
      </c>
      <c r="I30" s="21">
        <f t="shared" si="4"/>
        <v>1700000</v>
      </c>
      <c r="J30" s="21">
        <f t="shared" si="4"/>
        <v>1700000</v>
      </c>
    </row>
    <row r="32" spans="2:11" x14ac:dyDescent="0.45">
      <c r="B32" s="2" t="s">
        <v>137</v>
      </c>
      <c r="C32" s="21">
        <f t="shared" ref="C32:J32" si="5">SUM(C16,C23,C30)</f>
        <v>45600</v>
      </c>
      <c r="D32" s="21">
        <f t="shared" si="5"/>
        <v>228000</v>
      </c>
      <c r="E32" s="21">
        <f t="shared" si="5"/>
        <v>324000</v>
      </c>
      <c r="F32" s="21">
        <f t="shared" si="5"/>
        <v>540000</v>
      </c>
      <c r="G32" s="21">
        <f t="shared" si="5"/>
        <v>912000</v>
      </c>
      <c r="H32" s="21">
        <f t="shared" si="5"/>
        <v>5032000</v>
      </c>
      <c r="I32" s="21">
        <f t="shared" si="5"/>
        <v>1700000</v>
      </c>
      <c r="J32" s="21">
        <f t="shared" si="5"/>
        <v>1700000</v>
      </c>
    </row>
  </sheetData>
  <mergeCells count="1">
    <mergeCell ref="B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0665-9743-4E43-8E9A-C8065333C4AF}">
  <dimension ref="A1:AQ363"/>
  <sheetViews>
    <sheetView zoomScale="85" workbookViewId="0">
      <selection activeCell="A30" sqref="A30"/>
    </sheetView>
  </sheetViews>
  <sheetFormatPr baseColWidth="10" defaultColWidth="8.6640625" defaultRowHeight="13.5" x14ac:dyDescent="0.35"/>
  <cols>
    <col min="1" max="1" width="38" style="35" customWidth="1"/>
    <col min="2" max="2" width="14.53125" style="35" customWidth="1"/>
    <col min="3" max="11" width="13" style="36" customWidth="1"/>
    <col min="12" max="12" width="42" style="36" customWidth="1"/>
    <col min="13" max="13" width="4" style="35" customWidth="1"/>
    <col min="14" max="43" width="8.6640625" style="35"/>
    <col min="44" max="16384" width="8.6640625" style="36"/>
  </cols>
  <sheetData>
    <row r="1" spans="1:15" ht="27.75" customHeight="1" x14ac:dyDescent="0.35">
      <c r="A1" s="34" t="s">
        <v>107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5" s="35" customFormat="1" x14ac:dyDescent="0.35">
      <c r="A2" s="35" t="s">
        <v>181</v>
      </c>
    </row>
    <row r="3" spans="1:15" s="35" customFormat="1" x14ac:dyDescent="0.35">
      <c r="A3" s="35" t="s">
        <v>208</v>
      </c>
      <c r="B3" s="37">
        <v>0.2</v>
      </c>
      <c r="L3" s="38" t="s">
        <v>205</v>
      </c>
    </row>
    <row r="4" spans="1:15" ht="18" customHeight="1" x14ac:dyDescent="0.35">
      <c r="A4" s="39" t="s">
        <v>108</v>
      </c>
      <c r="B4" s="39">
        <v>2026</v>
      </c>
      <c r="C4" s="39" t="s">
        <v>91</v>
      </c>
      <c r="D4" s="39" t="s">
        <v>92</v>
      </c>
      <c r="E4" s="39" t="s">
        <v>93</v>
      </c>
      <c r="F4" s="39" t="s">
        <v>94</v>
      </c>
      <c r="G4" s="39" t="s">
        <v>95</v>
      </c>
      <c r="H4" s="39" t="s">
        <v>96</v>
      </c>
      <c r="I4" s="39" t="s">
        <v>97</v>
      </c>
      <c r="J4" s="39" t="s">
        <v>98</v>
      </c>
      <c r="K4" s="39">
        <v>2035</v>
      </c>
      <c r="L4" s="39" t="s">
        <v>99</v>
      </c>
    </row>
    <row r="5" spans="1:15" s="35" customFormat="1" x14ac:dyDescent="0.35">
      <c r="A5" s="40" t="s">
        <v>180</v>
      </c>
      <c r="B5" s="40"/>
      <c r="C5" s="41">
        <f>1/0.6</f>
        <v>1.6666666666666667</v>
      </c>
      <c r="D5" s="41">
        <f t="shared" ref="D5:H5" si="0">1/0.6</f>
        <v>1.6666666666666667</v>
      </c>
      <c r="E5" s="41">
        <f t="shared" si="0"/>
        <v>1.6666666666666667</v>
      </c>
      <c r="F5" s="41">
        <f t="shared" si="0"/>
        <v>1.6666666666666667</v>
      </c>
      <c r="G5" s="41">
        <f t="shared" si="0"/>
        <v>1.6666666666666667</v>
      </c>
      <c r="H5" s="41">
        <f t="shared" si="0"/>
        <v>1.6666666666666667</v>
      </c>
      <c r="I5" s="41">
        <v>0</v>
      </c>
      <c r="J5" s="41">
        <v>0</v>
      </c>
      <c r="K5" s="41"/>
      <c r="L5" s="42" t="s">
        <v>206</v>
      </c>
    </row>
    <row r="6" spans="1:15" s="35" customFormat="1" x14ac:dyDescent="0.35">
      <c r="A6" s="40" t="s">
        <v>182</v>
      </c>
      <c r="B6" s="40"/>
      <c r="C6" s="43">
        <f>E36</f>
        <v>3172122</v>
      </c>
      <c r="D6" s="43">
        <f>C6*$E$38</f>
        <v>3806546.4</v>
      </c>
      <c r="E6" s="43">
        <f t="shared" ref="E6:J6" si="1">D6*$E$38</f>
        <v>4567855.68</v>
      </c>
      <c r="F6" s="43">
        <f t="shared" si="1"/>
        <v>5481426.8159999996</v>
      </c>
      <c r="G6" s="43">
        <f t="shared" si="1"/>
        <v>6577712.1791999992</v>
      </c>
      <c r="H6" s="43">
        <f>G6*$E$38+N6+O6</f>
        <v>19893254.615039997</v>
      </c>
      <c r="I6" s="43">
        <f>G6*$E$38*$E$38</f>
        <v>9471905.5380479973</v>
      </c>
      <c r="J6" s="43">
        <f>I6*$E$38</f>
        <v>11366286.645657597</v>
      </c>
      <c r="K6" s="43">
        <f>J6*$E$38</f>
        <v>13639543.974789117</v>
      </c>
      <c r="L6" s="32" t="s">
        <v>188</v>
      </c>
      <c r="N6" s="35">
        <v>9500000</v>
      </c>
      <c r="O6" s="35">
        <v>2500000</v>
      </c>
    </row>
    <row r="7" spans="1:15" s="35" customFormat="1" x14ac:dyDescent="0.35">
      <c r="A7" s="40" t="s">
        <v>114</v>
      </c>
      <c r="B7" s="40"/>
      <c r="C7" s="43">
        <f>Assumptions!$C$14</f>
        <v>1</v>
      </c>
      <c r="D7" s="43">
        <f>Assumptions!$C$14</f>
        <v>1</v>
      </c>
      <c r="E7" s="43">
        <f>Assumptions!$C$14</f>
        <v>1</v>
      </c>
      <c r="F7" s="43">
        <f>Assumptions!$C$14</f>
        <v>1</v>
      </c>
      <c r="G7" s="43">
        <f>Assumptions!$C$14</f>
        <v>1</v>
      </c>
      <c r="H7" s="43">
        <f>Assumptions!$C$14</f>
        <v>1</v>
      </c>
      <c r="I7" s="43">
        <f>Assumptions!$C$14</f>
        <v>1</v>
      </c>
      <c r="J7" s="43">
        <f>Assumptions!$C$14</f>
        <v>1</v>
      </c>
      <c r="K7" s="43">
        <f>Assumptions!$C$14</f>
        <v>1</v>
      </c>
      <c r="L7" s="38" t="s">
        <v>207</v>
      </c>
    </row>
    <row r="8" spans="1:15" s="35" customFormat="1" ht="13.9" x14ac:dyDescent="0.4">
      <c r="A8" s="44" t="s">
        <v>120</v>
      </c>
      <c r="B8" s="44"/>
      <c r="C8" s="45">
        <f>C5*C6*C7</f>
        <v>5286870</v>
      </c>
      <c r="D8" s="45">
        <f t="shared" ref="D8:K8" si="2">D5*D6*D7</f>
        <v>6344244</v>
      </c>
      <c r="E8" s="45">
        <f t="shared" si="2"/>
        <v>7613092.7999999998</v>
      </c>
      <c r="F8" s="45">
        <f t="shared" si="2"/>
        <v>9135711.3599999994</v>
      </c>
      <c r="G8" s="45">
        <f t="shared" si="2"/>
        <v>10962853.631999999</v>
      </c>
      <c r="H8" s="45">
        <f t="shared" si="2"/>
        <v>33155424.358399995</v>
      </c>
      <c r="I8" s="45">
        <f t="shared" si="2"/>
        <v>0</v>
      </c>
      <c r="J8" s="45">
        <f t="shared" si="2"/>
        <v>0</v>
      </c>
      <c r="K8" s="45">
        <f t="shared" si="2"/>
        <v>0</v>
      </c>
    </row>
    <row r="9" spans="1:15" s="35" customFormat="1" x14ac:dyDescent="0.35"/>
    <row r="10" spans="1:15" s="35" customFormat="1" x14ac:dyDescent="0.35">
      <c r="A10" s="40" t="s">
        <v>121</v>
      </c>
      <c r="B10" s="40"/>
      <c r="C10" s="46">
        <v>0.05</v>
      </c>
      <c r="D10" s="46">
        <v>0.05</v>
      </c>
      <c r="E10" s="46">
        <v>0.1</v>
      </c>
      <c r="F10" s="46">
        <v>0.1</v>
      </c>
      <c r="G10" s="46">
        <v>0.1</v>
      </c>
      <c r="H10" s="46">
        <v>0.1</v>
      </c>
      <c r="I10" s="46"/>
      <c r="J10" s="46"/>
      <c r="K10" s="46"/>
      <c r="L10" s="32" t="s">
        <v>210</v>
      </c>
    </row>
    <row r="11" spans="1:15" s="35" customFormat="1" ht="13.9" x14ac:dyDescent="0.4">
      <c r="A11" s="44" t="s">
        <v>123</v>
      </c>
      <c r="B11" s="44"/>
      <c r="C11" s="45">
        <f t="shared" ref="C11:K11" si="3">C8*C10</f>
        <v>264343.5</v>
      </c>
      <c r="D11" s="45">
        <f t="shared" si="3"/>
        <v>317212.2</v>
      </c>
      <c r="E11" s="45">
        <f t="shared" si="3"/>
        <v>761309.28</v>
      </c>
      <c r="F11" s="45">
        <f t="shared" si="3"/>
        <v>913571.13599999994</v>
      </c>
      <c r="G11" s="45">
        <f t="shared" si="3"/>
        <v>1096285.3632</v>
      </c>
      <c r="H11" s="45">
        <f t="shared" si="3"/>
        <v>3315542.4358399995</v>
      </c>
      <c r="I11" s="45">
        <f t="shared" si="3"/>
        <v>0</v>
      </c>
      <c r="J11" s="45">
        <f t="shared" si="3"/>
        <v>0</v>
      </c>
      <c r="K11" s="45">
        <f t="shared" si="3"/>
        <v>0</v>
      </c>
    </row>
    <row r="12" spans="1:15" s="35" customFormat="1" x14ac:dyDescent="0.35"/>
    <row r="13" spans="1:15" ht="13.9" hidden="1" x14ac:dyDescent="0.4">
      <c r="A13" s="47" t="s">
        <v>124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</row>
    <row r="14" spans="1:15" hidden="1" x14ac:dyDescent="0.35">
      <c r="A14" s="30" t="s">
        <v>125</v>
      </c>
      <c r="B14" s="30"/>
      <c r="C14" s="48">
        <f>C6*0.6</f>
        <v>1903273.2</v>
      </c>
      <c r="D14" s="48">
        <f t="shared" ref="D14:H14" si="4">D6*0.6</f>
        <v>2283927.84</v>
      </c>
      <c r="E14" s="48">
        <f t="shared" si="4"/>
        <v>2740713.4079999998</v>
      </c>
      <c r="F14" s="48">
        <f>F6*0.6</f>
        <v>3288856.0895999996</v>
      </c>
      <c r="G14" s="48">
        <f t="shared" si="4"/>
        <v>3946627.3075199993</v>
      </c>
      <c r="H14" s="48">
        <f t="shared" si="4"/>
        <v>11935952.769023998</v>
      </c>
      <c r="I14" s="48">
        <v>0</v>
      </c>
      <c r="J14" s="48">
        <v>0</v>
      </c>
      <c r="K14" s="48">
        <v>1</v>
      </c>
      <c r="L14" s="31" t="s">
        <v>183</v>
      </c>
    </row>
    <row r="15" spans="1:15" hidden="1" x14ac:dyDescent="0.35">
      <c r="A15" s="30" t="s">
        <v>128</v>
      </c>
      <c r="B15" s="30"/>
      <c r="C15" s="49" t="s">
        <v>184</v>
      </c>
      <c r="D15" s="49"/>
      <c r="E15" s="49"/>
      <c r="F15" s="49"/>
      <c r="G15" s="49"/>
      <c r="H15" s="49"/>
      <c r="I15" s="49"/>
      <c r="J15" s="49"/>
      <c r="K15" s="49"/>
    </row>
    <row r="16" spans="1:15" hidden="1" x14ac:dyDescent="0.35">
      <c r="A16" s="30" t="s">
        <v>129</v>
      </c>
      <c r="B16" s="30"/>
      <c r="C16" s="50" t="s">
        <v>184</v>
      </c>
      <c r="D16" s="50"/>
      <c r="E16" s="50"/>
      <c r="F16" s="50"/>
      <c r="G16" s="50"/>
      <c r="H16" s="50"/>
      <c r="I16" s="50"/>
      <c r="J16" s="50"/>
      <c r="K16" s="50"/>
    </row>
    <row r="17" spans="1:12" ht="13.9" hidden="1" x14ac:dyDescent="0.4">
      <c r="A17" s="51" t="s">
        <v>130</v>
      </c>
      <c r="B17" s="51"/>
      <c r="C17" s="52" t="e">
        <f>C16*Assumptions!$C$20</f>
        <v>#VALUE!</v>
      </c>
      <c r="D17" s="52">
        <f>D16*Assumptions!$C$20</f>
        <v>0</v>
      </c>
      <c r="E17" s="52">
        <f>E16*Assumptions!$C$20</f>
        <v>0</v>
      </c>
      <c r="F17" s="52">
        <f>F16*Assumptions!$C$20</f>
        <v>0</v>
      </c>
      <c r="G17" s="52">
        <f>G16*Assumptions!$C$20</f>
        <v>0</v>
      </c>
      <c r="H17" s="52">
        <f>H16*Assumptions!$C$20</f>
        <v>0</v>
      </c>
      <c r="I17" s="52">
        <f>I16*Assumptions!$C$20</f>
        <v>0</v>
      </c>
      <c r="J17" s="52">
        <f>J16*Assumptions!$C$20</f>
        <v>0</v>
      </c>
      <c r="K17" s="52">
        <f>K16*Assumptions!$C$20</f>
        <v>0</v>
      </c>
    </row>
    <row r="18" spans="1:12" hidden="1" x14ac:dyDescent="0.35">
      <c r="A18" s="36"/>
      <c r="B18" s="36"/>
    </row>
    <row r="19" spans="1:12" ht="13.9" x14ac:dyDescent="0.4">
      <c r="A19" s="47" t="s">
        <v>131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2" s="35" customFormat="1" x14ac:dyDescent="0.35">
      <c r="A20" s="40" t="s">
        <v>132</v>
      </c>
      <c r="B20" s="40"/>
      <c r="C20" s="53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4">
        <f>Assumptions!$C$23</f>
        <v>500000</v>
      </c>
      <c r="J20" s="54">
        <f>Assumptions!$C$23</f>
        <v>500000</v>
      </c>
      <c r="K20" s="54">
        <f>Assumptions!$C$23</f>
        <v>500000</v>
      </c>
      <c r="L20" s="66" t="s">
        <v>211</v>
      </c>
    </row>
    <row r="21" spans="1:12" s="35" customFormat="1" x14ac:dyDescent="0.35">
      <c r="A21" s="40" t="s">
        <v>133</v>
      </c>
      <c r="B21" s="40"/>
      <c r="C21" s="53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4">
        <f>Assumptions!$C$24</f>
        <v>500000</v>
      </c>
      <c r="J21" s="54">
        <f>Assumptions!$C$24</f>
        <v>500000</v>
      </c>
      <c r="K21" s="54">
        <f>Assumptions!$C$24</f>
        <v>500000</v>
      </c>
      <c r="L21" s="67"/>
    </row>
    <row r="22" spans="1:12" s="35" customFormat="1" x14ac:dyDescent="0.35">
      <c r="A22" s="40" t="s">
        <v>134</v>
      </c>
      <c r="B22" s="40"/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4">
        <f>Assumptions!$C$25</f>
        <v>300000</v>
      </c>
      <c r="J22" s="54">
        <f>Assumptions!$C$25</f>
        <v>300000</v>
      </c>
      <c r="K22" s="54">
        <f>Assumptions!$C$25</f>
        <v>300000</v>
      </c>
      <c r="L22" s="67"/>
    </row>
    <row r="23" spans="1:12" s="35" customFormat="1" x14ac:dyDescent="0.35">
      <c r="A23" s="40" t="s">
        <v>135</v>
      </c>
      <c r="B23" s="40"/>
      <c r="C23" s="53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4">
        <f>Assumptions!$C$26</f>
        <v>400000</v>
      </c>
      <c r="J23" s="54">
        <f>Assumptions!$C$26</f>
        <v>400000</v>
      </c>
      <c r="K23" s="54">
        <f>Assumptions!$C$26</f>
        <v>400000</v>
      </c>
      <c r="L23" s="67"/>
    </row>
    <row r="24" spans="1:12" ht="13.9" x14ac:dyDescent="0.4">
      <c r="A24" s="44" t="s">
        <v>136</v>
      </c>
      <c r="B24" s="44"/>
      <c r="C24" s="52">
        <f t="shared" ref="C24:K24" si="5">SUM(C20:C23)</f>
        <v>0</v>
      </c>
      <c r="D24" s="52">
        <f t="shared" si="5"/>
        <v>0</v>
      </c>
      <c r="E24" s="52">
        <f t="shared" si="5"/>
        <v>0</v>
      </c>
      <c r="F24" s="52">
        <f t="shared" si="5"/>
        <v>0</v>
      </c>
      <c r="G24" s="52">
        <f t="shared" si="5"/>
        <v>0</v>
      </c>
      <c r="H24" s="52">
        <f t="shared" si="5"/>
        <v>0</v>
      </c>
      <c r="I24" s="52">
        <f t="shared" si="5"/>
        <v>1700000</v>
      </c>
      <c r="J24" s="52">
        <f t="shared" si="5"/>
        <v>1700000</v>
      </c>
      <c r="K24" s="52">
        <f t="shared" si="5"/>
        <v>1700000</v>
      </c>
      <c r="L24" s="67"/>
    </row>
    <row r="25" spans="1:12" s="35" customFormat="1" x14ac:dyDescent="0.35"/>
    <row r="26" spans="1:12" ht="13.9" x14ac:dyDescent="0.4">
      <c r="A26" s="44" t="s">
        <v>137</v>
      </c>
      <c r="B26" s="44"/>
      <c r="C26" s="52">
        <f>C11</f>
        <v>264343.5</v>
      </c>
      <c r="D26" s="52">
        <f>SUM(D11,D17,D24)</f>
        <v>317212.2</v>
      </c>
      <c r="E26" s="52">
        <f>SUM(E11,E17,E24)</f>
        <v>761309.28</v>
      </c>
      <c r="F26" s="52">
        <f>SUM(F11,F17,F24)</f>
        <v>913571.13599999994</v>
      </c>
      <c r="G26" s="52">
        <f>SUM(G11,G17,G24)</f>
        <v>1096285.3632</v>
      </c>
      <c r="H26" s="52">
        <f>SUM(H11,H17,H24)</f>
        <v>3315542.4358399995</v>
      </c>
      <c r="I26" s="52">
        <f>SUM(I11,I17,I24)</f>
        <v>1700000</v>
      </c>
      <c r="J26" s="52">
        <f>SUM(J11,J17,J24)</f>
        <v>1700000</v>
      </c>
      <c r="K26" s="52">
        <f>SUM(K11,K17,K24)</f>
        <v>1700000</v>
      </c>
    </row>
    <row r="27" spans="1:12" s="35" customFormat="1" x14ac:dyDescent="0.35"/>
    <row r="28" spans="1:12" s="35" customFormat="1" ht="13.9" x14ac:dyDescent="0.4">
      <c r="B28" s="55" t="s">
        <v>201</v>
      </c>
    </row>
    <row r="29" spans="1:12" s="35" customFormat="1" x14ac:dyDescent="0.35">
      <c r="B29" s="35" t="s">
        <v>202</v>
      </c>
      <c r="D29" s="35" t="s">
        <v>200</v>
      </c>
    </row>
    <row r="30" spans="1:12" s="35" customFormat="1" x14ac:dyDescent="0.35">
      <c r="B30" s="35">
        <v>9</v>
      </c>
      <c r="C30" s="35">
        <v>2</v>
      </c>
      <c r="D30" s="35">
        <v>27794</v>
      </c>
      <c r="E30" s="35">
        <f>B30*C30*D30</f>
        <v>500292</v>
      </c>
    </row>
    <row r="31" spans="1:12" s="35" customFormat="1" x14ac:dyDescent="0.35">
      <c r="B31" s="35">
        <v>4</v>
      </c>
      <c r="C31" s="35">
        <v>2</v>
      </c>
      <c r="D31" s="35">
        <v>27500</v>
      </c>
      <c r="E31" s="35">
        <f t="shared" ref="E31:E35" si="6">B31*C31*D31</f>
        <v>220000</v>
      </c>
    </row>
    <row r="32" spans="1:12" s="35" customFormat="1" x14ac:dyDescent="0.35">
      <c r="B32" s="35">
        <v>5</v>
      </c>
      <c r="C32" s="35">
        <v>2</v>
      </c>
      <c r="D32" s="35">
        <v>42000</v>
      </c>
      <c r="E32" s="35">
        <f t="shared" si="6"/>
        <v>420000</v>
      </c>
    </row>
    <row r="33" spans="2:5" s="35" customFormat="1" x14ac:dyDescent="0.35">
      <c r="B33" s="35">
        <v>12</v>
      </c>
      <c r="C33" s="35">
        <v>2</v>
      </c>
      <c r="D33" s="35">
        <v>52500</v>
      </c>
      <c r="E33" s="35">
        <f t="shared" si="6"/>
        <v>1260000</v>
      </c>
    </row>
    <row r="34" spans="2:5" s="35" customFormat="1" x14ac:dyDescent="0.35">
      <c r="B34" s="35">
        <v>13</v>
      </c>
      <c r="C34" s="35">
        <v>2</v>
      </c>
      <c r="D34" s="35">
        <v>25455</v>
      </c>
      <c r="E34" s="35">
        <f t="shared" si="6"/>
        <v>661830</v>
      </c>
    </row>
    <row r="35" spans="2:5" s="35" customFormat="1" x14ac:dyDescent="0.35">
      <c r="B35" s="35">
        <v>11</v>
      </c>
      <c r="C35" s="35">
        <v>2</v>
      </c>
      <c r="D35" s="35">
        <v>5000</v>
      </c>
      <c r="E35" s="35">
        <f t="shared" si="6"/>
        <v>110000</v>
      </c>
    </row>
    <row r="36" spans="2:5" s="35" customFormat="1" x14ac:dyDescent="0.35">
      <c r="E36" s="35">
        <f>SUM(E30:E35)</f>
        <v>3172122</v>
      </c>
    </row>
    <row r="37" spans="2:5" s="35" customFormat="1" x14ac:dyDescent="0.35"/>
    <row r="38" spans="2:5" s="35" customFormat="1" x14ac:dyDescent="0.35">
      <c r="B38" s="35" t="s">
        <v>187</v>
      </c>
      <c r="E38" s="35">
        <v>1.2</v>
      </c>
    </row>
    <row r="39" spans="2:5" s="35" customFormat="1" x14ac:dyDescent="0.35"/>
    <row r="40" spans="2:5" s="35" customFormat="1" x14ac:dyDescent="0.35"/>
    <row r="41" spans="2:5" s="35" customFormat="1" x14ac:dyDescent="0.35"/>
    <row r="42" spans="2:5" s="35" customFormat="1" x14ac:dyDescent="0.35"/>
    <row r="43" spans="2:5" s="35" customFormat="1" x14ac:dyDescent="0.35"/>
    <row r="44" spans="2:5" s="35" customFormat="1" x14ac:dyDescent="0.35"/>
    <row r="45" spans="2:5" s="35" customFormat="1" x14ac:dyDescent="0.35"/>
    <row r="46" spans="2:5" s="35" customFormat="1" x14ac:dyDescent="0.35"/>
    <row r="47" spans="2:5" s="35" customFormat="1" x14ac:dyDescent="0.35"/>
    <row r="48" spans="2:5" s="35" customFormat="1" x14ac:dyDescent="0.35"/>
    <row r="49" s="35" customFormat="1" x14ac:dyDescent="0.35"/>
    <row r="50" s="35" customFormat="1" x14ac:dyDescent="0.35"/>
    <row r="51" s="35" customFormat="1" x14ac:dyDescent="0.35"/>
    <row r="52" s="35" customFormat="1" x14ac:dyDescent="0.35"/>
    <row r="53" s="35" customFormat="1" x14ac:dyDescent="0.35"/>
    <row r="54" s="35" customFormat="1" x14ac:dyDescent="0.35"/>
    <row r="55" s="35" customFormat="1" x14ac:dyDescent="0.35"/>
    <row r="56" s="35" customFormat="1" x14ac:dyDescent="0.35"/>
    <row r="57" s="35" customFormat="1" x14ac:dyDescent="0.35"/>
    <row r="58" s="35" customFormat="1" x14ac:dyDescent="0.35"/>
    <row r="59" s="35" customFormat="1" x14ac:dyDescent="0.35"/>
    <row r="60" s="35" customFormat="1" x14ac:dyDescent="0.35"/>
    <row r="61" s="35" customFormat="1" x14ac:dyDescent="0.35"/>
    <row r="62" s="35" customFormat="1" x14ac:dyDescent="0.35"/>
    <row r="63" s="35" customFormat="1" x14ac:dyDescent="0.35"/>
    <row r="64" s="35" customFormat="1" x14ac:dyDescent="0.35"/>
    <row r="65" s="35" customFormat="1" x14ac:dyDescent="0.35"/>
    <row r="66" s="35" customFormat="1" x14ac:dyDescent="0.35"/>
    <row r="67" s="35" customFormat="1" x14ac:dyDescent="0.35"/>
    <row r="68" s="35" customFormat="1" x14ac:dyDescent="0.35"/>
    <row r="69" s="35" customFormat="1" x14ac:dyDescent="0.35"/>
    <row r="70" s="35" customFormat="1" x14ac:dyDescent="0.35"/>
    <row r="71" s="35" customFormat="1" x14ac:dyDescent="0.35"/>
    <row r="72" s="35" customFormat="1" x14ac:dyDescent="0.35"/>
    <row r="73" s="35" customFormat="1" x14ac:dyDescent="0.35"/>
    <row r="74" s="35" customFormat="1" x14ac:dyDescent="0.35"/>
    <row r="75" s="35" customFormat="1" x14ac:dyDescent="0.35"/>
    <row r="76" s="35" customFormat="1" x14ac:dyDescent="0.35"/>
    <row r="77" s="35" customFormat="1" x14ac:dyDescent="0.35"/>
    <row r="78" s="35" customFormat="1" x14ac:dyDescent="0.35"/>
    <row r="79" s="35" customFormat="1" x14ac:dyDescent="0.35"/>
    <row r="80" s="35" customFormat="1" x14ac:dyDescent="0.35"/>
    <row r="81" s="35" customFormat="1" x14ac:dyDescent="0.35"/>
    <row r="82" s="35" customFormat="1" x14ac:dyDescent="0.35"/>
    <row r="83" s="35" customFormat="1" x14ac:dyDescent="0.35"/>
    <row r="84" s="35" customFormat="1" x14ac:dyDescent="0.35"/>
    <row r="85" s="35" customFormat="1" x14ac:dyDescent="0.35"/>
    <row r="86" s="35" customFormat="1" x14ac:dyDescent="0.35"/>
    <row r="87" s="35" customFormat="1" x14ac:dyDescent="0.35"/>
    <row r="88" s="35" customFormat="1" x14ac:dyDescent="0.35"/>
    <row r="89" s="35" customFormat="1" x14ac:dyDescent="0.35"/>
    <row r="90" s="35" customFormat="1" x14ac:dyDescent="0.35"/>
    <row r="91" s="35" customFormat="1" x14ac:dyDescent="0.35"/>
    <row r="92" s="35" customFormat="1" x14ac:dyDescent="0.35"/>
    <row r="93" s="35" customFormat="1" x14ac:dyDescent="0.35"/>
    <row r="94" s="35" customFormat="1" x14ac:dyDescent="0.35"/>
    <row r="95" s="35" customFormat="1" x14ac:dyDescent="0.35"/>
    <row r="96" s="35" customFormat="1" x14ac:dyDescent="0.35"/>
    <row r="97" s="35" customFormat="1" x14ac:dyDescent="0.35"/>
    <row r="98" s="35" customFormat="1" x14ac:dyDescent="0.35"/>
    <row r="99" s="35" customFormat="1" x14ac:dyDescent="0.35"/>
    <row r="100" s="35" customFormat="1" x14ac:dyDescent="0.35"/>
    <row r="101" s="35" customFormat="1" x14ac:dyDescent="0.35"/>
    <row r="102" s="35" customFormat="1" x14ac:dyDescent="0.35"/>
    <row r="103" s="35" customFormat="1" x14ac:dyDescent="0.35"/>
    <row r="104" s="35" customFormat="1" x14ac:dyDescent="0.35"/>
    <row r="105" s="35" customFormat="1" x14ac:dyDescent="0.35"/>
    <row r="106" s="35" customFormat="1" x14ac:dyDescent="0.35"/>
    <row r="107" s="35" customFormat="1" x14ac:dyDescent="0.35"/>
    <row r="108" s="35" customFormat="1" x14ac:dyDescent="0.35"/>
    <row r="109" s="35" customFormat="1" x14ac:dyDescent="0.35"/>
    <row r="110" s="35" customFormat="1" x14ac:dyDescent="0.35"/>
    <row r="111" s="35" customFormat="1" x14ac:dyDescent="0.35"/>
    <row r="112" s="35" customFormat="1" x14ac:dyDescent="0.35"/>
    <row r="113" s="35" customFormat="1" x14ac:dyDescent="0.35"/>
    <row r="114" s="35" customFormat="1" x14ac:dyDescent="0.35"/>
    <row r="115" s="35" customFormat="1" x14ac:dyDescent="0.35"/>
    <row r="116" s="35" customFormat="1" x14ac:dyDescent="0.35"/>
    <row r="117" s="35" customFormat="1" x14ac:dyDescent="0.35"/>
    <row r="118" s="35" customFormat="1" x14ac:dyDescent="0.35"/>
    <row r="119" s="35" customFormat="1" x14ac:dyDescent="0.35"/>
    <row r="120" s="35" customFormat="1" x14ac:dyDescent="0.35"/>
    <row r="121" s="35" customFormat="1" x14ac:dyDescent="0.35"/>
    <row r="122" s="35" customFormat="1" x14ac:dyDescent="0.35"/>
    <row r="123" s="35" customFormat="1" x14ac:dyDescent="0.35"/>
    <row r="124" s="35" customFormat="1" x14ac:dyDescent="0.35"/>
    <row r="125" s="35" customFormat="1" x14ac:dyDescent="0.35"/>
    <row r="126" s="35" customFormat="1" x14ac:dyDescent="0.35"/>
    <row r="127" s="35" customFormat="1" x14ac:dyDescent="0.35"/>
    <row r="128" s="35" customFormat="1" x14ac:dyDescent="0.35"/>
    <row r="129" s="35" customFormat="1" x14ac:dyDescent="0.35"/>
    <row r="130" s="35" customFormat="1" x14ac:dyDescent="0.35"/>
    <row r="131" s="35" customFormat="1" x14ac:dyDescent="0.35"/>
    <row r="132" s="35" customFormat="1" x14ac:dyDescent="0.35"/>
    <row r="133" s="35" customFormat="1" x14ac:dyDescent="0.35"/>
    <row r="134" s="35" customFormat="1" x14ac:dyDescent="0.35"/>
    <row r="135" s="35" customFormat="1" x14ac:dyDescent="0.35"/>
    <row r="136" s="35" customFormat="1" x14ac:dyDescent="0.35"/>
    <row r="137" s="35" customFormat="1" x14ac:dyDescent="0.35"/>
    <row r="138" s="35" customFormat="1" x14ac:dyDescent="0.35"/>
    <row r="139" s="35" customFormat="1" x14ac:dyDescent="0.35"/>
    <row r="140" s="35" customFormat="1" x14ac:dyDescent="0.35"/>
    <row r="141" s="35" customFormat="1" x14ac:dyDescent="0.35"/>
    <row r="142" s="35" customFormat="1" x14ac:dyDescent="0.35"/>
    <row r="143" s="35" customFormat="1" x14ac:dyDescent="0.35"/>
    <row r="144" s="35" customFormat="1" x14ac:dyDescent="0.35"/>
    <row r="145" s="35" customFormat="1" x14ac:dyDescent="0.35"/>
    <row r="146" s="35" customFormat="1" x14ac:dyDescent="0.35"/>
    <row r="147" s="35" customFormat="1" x14ac:dyDescent="0.35"/>
    <row r="148" s="35" customFormat="1" x14ac:dyDescent="0.35"/>
    <row r="149" s="35" customFormat="1" x14ac:dyDescent="0.35"/>
    <row r="150" s="35" customFormat="1" x14ac:dyDescent="0.35"/>
    <row r="151" s="35" customFormat="1" x14ac:dyDescent="0.35"/>
    <row r="152" s="35" customFormat="1" x14ac:dyDescent="0.35"/>
    <row r="153" s="35" customFormat="1" x14ac:dyDescent="0.35"/>
    <row r="154" s="35" customFormat="1" x14ac:dyDescent="0.35"/>
    <row r="155" s="35" customFormat="1" x14ac:dyDescent="0.35"/>
    <row r="156" s="35" customFormat="1" x14ac:dyDescent="0.35"/>
    <row r="157" s="35" customFormat="1" x14ac:dyDescent="0.35"/>
    <row r="158" s="35" customFormat="1" x14ac:dyDescent="0.35"/>
    <row r="159" s="35" customFormat="1" x14ac:dyDescent="0.35"/>
    <row r="160" s="35" customFormat="1" x14ac:dyDescent="0.35"/>
    <row r="161" s="35" customFormat="1" x14ac:dyDescent="0.35"/>
    <row r="162" s="35" customFormat="1" x14ac:dyDescent="0.35"/>
    <row r="163" s="35" customFormat="1" x14ac:dyDescent="0.35"/>
    <row r="164" s="35" customFormat="1" x14ac:dyDescent="0.35"/>
    <row r="165" s="35" customFormat="1" x14ac:dyDescent="0.35"/>
    <row r="166" s="35" customFormat="1" x14ac:dyDescent="0.35"/>
    <row r="167" s="35" customFormat="1" x14ac:dyDescent="0.35"/>
    <row r="168" s="35" customFormat="1" x14ac:dyDescent="0.35"/>
    <row r="169" s="35" customFormat="1" x14ac:dyDescent="0.35"/>
    <row r="170" s="35" customFormat="1" x14ac:dyDescent="0.35"/>
    <row r="171" s="35" customFormat="1" x14ac:dyDescent="0.35"/>
    <row r="172" s="35" customFormat="1" x14ac:dyDescent="0.35"/>
    <row r="173" s="35" customFormat="1" x14ac:dyDescent="0.35"/>
    <row r="174" s="35" customFormat="1" x14ac:dyDescent="0.35"/>
    <row r="175" s="35" customFormat="1" x14ac:dyDescent="0.35"/>
    <row r="176" s="35" customFormat="1" x14ac:dyDescent="0.35"/>
    <row r="177" s="35" customFormat="1" x14ac:dyDescent="0.35"/>
    <row r="178" s="35" customFormat="1" x14ac:dyDescent="0.35"/>
    <row r="179" s="35" customFormat="1" x14ac:dyDescent="0.35"/>
    <row r="180" s="35" customFormat="1" x14ac:dyDescent="0.35"/>
    <row r="181" s="35" customFormat="1" x14ac:dyDescent="0.35"/>
    <row r="182" s="35" customFormat="1" x14ac:dyDescent="0.35"/>
    <row r="183" s="35" customFormat="1" x14ac:dyDescent="0.35"/>
    <row r="184" s="35" customFormat="1" x14ac:dyDescent="0.35"/>
    <row r="185" s="35" customFormat="1" x14ac:dyDescent="0.35"/>
    <row r="186" s="35" customFormat="1" x14ac:dyDescent="0.35"/>
    <row r="187" s="35" customFormat="1" x14ac:dyDescent="0.35"/>
    <row r="188" s="35" customFormat="1" x14ac:dyDescent="0.35"/>
    <row r="189" s="35" customFormat="1" x14ac:dyDescent="0.35"/>
    <row r="190" s="35" customFormat="1" x14ac:dyDescent="0.35"/>
    <row r="191" s="35" customFormat="1" x14ac:dyDescent="0.35"/>
    <row r="192" s="35" customFormat="1" x14ac:dyDescent="0.35"/>
    <row r="193" s="35" customFormat="1" x14ac:dyDescent="0.35"/>
    <row r="194" s="35" customFormat="1" x14ac:dyDescent="0.35"/>
    <row r="195" s="35" customFormat="1" x14ac:dyDescent="0.35"/>
    <row r="196" s="35" customFormat="1" x14ac:dyDescent="0.35"/>
    <row r="197" s="35" customFormat="1" x14ac:dyDescent="0.35"/>
    <row r="198" s="35" customFormat="1" x14ac:dyDescent="0.35"/>
    <row r="199" s="35" customFormat="1" x14ac:dyDescent="0.35"/>
    <row r="200" s="35" customFormat="1" x14ac:dyDescent="0.35"/>
    <row r="201" s="35" customFormat="1" x14ac:dyDescent="0.35"/>
    <row r="202" s="35" customFormat="1" x14ac:dyDescent="0.35"/>
    <row r="203" s="35" customFormat="1" x14ac:dyDescent="0.35"/>
    <row r="204" s="35" customFormat="1" x14ac:dyDescent="0.35"/>
    <row r="205" s="35" customFormat="1" x14ac:dyDescent="0.35"/>
    <row r="206" s="35" customFormat="1" x14ac:dyDescent="0.35"/>
    <row r="207" s="35" customFormat="1" x14ac:dyDescent="0.35"/>
    <row r="208" s="35" customFormat="1" x14ac:dyDescent="0.35"/>
    <row r="209" s="35" customFormat="1" x14ac:dyDescent="0.35"/>
    <row r="210" s="35" customFormat="1" x14ac:dyDescent="0.35"/>
    <row r="211" s="35" customFormat="1" x14ac:dyDescent="0.35"/>
    <row r="212" s="35" customFormat="1" x14ac:dyDescent="0.35"/>
    <row r="213" s="35" customFormat="1" x14ac:dyDescent="0.35"/>
    <row r="214" s="35" customFormat="1" x14ac:dyDescent="0.35"/>
    <row r="215" s="35" customFormat="1" x14ac:dyDescent="0.35"/>
    <row r="216" s="35" customFormat="1" x14ac:dyDescent="0.35"/>
    <row r="217" s="35" customFormat="1" x14ac:dyDescent="0.35"/>
    <row r="218" s="35" customFormat="1" x14ac:dyDescent="0.35"/>
    <row r="219" s="35" customFormat="1" x14ac:dyDescent="0.35"/>
    <row r="220" s="35" customFormat="1" x14ac:dyDescent="0.35"/>
    <row r="221" s="35" customFormat="1" x14ac:dyDescent="0.35"/>
    <row r="222" s="35" customFormat="1" x14ac:dyDescent="0.35"/>
    <row r="223" s="35" customFormat="1" x14ac:dyDescent="0.35"/>
    <row r="224" s="35" customFormat="1" x14ac:dyDescent="0.35"/>
    <row r="225" s="35" customFormat="1" x14ac:dyDescent="0.35"/>
    <row r="226" s="35" customFormat="1" x14ac:dyDescent="0.35"/>
    <row r="227" s="35" customFormat="1" x14ac:dyDescent="0.35"/>
    <row r="228" s="35" customFormat="1" x14ac:dyDescent="0.35"/>
    <row r="229" s="35" customFormat="1" x14ac:dyDescent="0.35"/>
    <row r="230" s="35" customFormat="1" x14ac:dyDescent="0.35"/>
    <row r="231" s="35" customFormat="1" x14ac:dyDescent="0.35"/>
    <row r="232" s="35" customFormat="1" x14ac:dyDescent="0.35"/>
    <row r="233" s="35" customFormat="1" x14ac:dyDescent="0.35"/>
    <row r="234" s="35" customFormat="1" x14ac:dyDescent="0.35"/>
    <row r="235" s="35" customFormat="1" x14ac:dyDescent="0.35"/>
    <row r="236" s="35" customFormat="1" x14ac:dyDescent="0.35"/>
    <row r="237" s="35" customFormat="1" x14ac:dyDescent="0.35"/>
    <row r="238" s="35" customFormat="1" x14ac:dyDescent="0.35"/>
    <row r="239" s="35" customFormat="1" x14ac:dyDescent="0.35"/>
    <row r="240" s="35" customFormat="1" x14ac:dyDescent="0.35"/>
    <row r="241" s="35" customFormat="1" x14ac:dyDescent="0.35"/>
    <row r="242" s="35" customFormat="1" x14ac:dyDescent="0.35"/>
    <row r="243" s="35" customFormat="1" x14ac:dyDescent="0.35"/>
    <row r="244" s="35" customFormat="1" x14ac:dyDescent="0.35"/>
    <row r="245" s="35" customFormat="1" x14ac:dyDescent="0.35"/>
    <row r="246" s="35" customFormat="1" x14ac:dyDescent="0.35"/>
    <row r="247" s="35" customFormat="1" x14ac:dyDescent="0.35"/>
    <row r="248" s="35" customFormat="1" x14ac:dyDescent="0.35"/>
    <row r="249" s="35" customFormat="1" x14ac:dyDescent="0.35"/>
    <row r="250" s="35" customFormat="1" x14ac:dyDescent="0.35"/>
    <row r="251" s="35" customFormat="1" x14ac:dyDescent="0.35"/>
    <row r="252" s="35" customFormat="1" x14ac:dyDescent="0.35"/>
    <row r="253" s="35" customFormat="1" x14ac:dyDescent="0.35"/>
    <row r="254" s="35" customFormat="1" x14ac:dyDescent="0.35"/>
    <row r="255" s="35" customFormat="1" x14ac:dyDescent="0.35"/>
    <row r="256" s="35" customFormat="1" x14ac:dyDescent="0.35"/>
    <row r="257" s="35" customFormat="1" x14ac:dyDescent="0.35"/>
    <row r="258" s="35" customFormat="1" x14ac:dyDescent="0.35"/>
    <row r="259" s="35" customFormat="1" x14ac:dyDescent="0.35"/>
    <row r="260" s="35" customFormat="1" x14ac:dyDescent="0.35"/>
    <row r="261" s="35" customFormat="1" x14ac:dyDescent="0.35"/>
    <row r="262" s="35" customFormat="1" x14ac:dyDescent="0.35"/>
    <row r="263" s="35" customFormat="1" x14ac:dyDescent="0.35"/>
    <row r="264" s="35" customFormat="1" x14ac:dyDescent="0.35"/>
    <row r="265" s="35" customFormat="1" x14ac:dyDescent="0.35"/>
    <row r="266" s="35" customFormat="1" x14ac:dyDescent="0.35"/>
    <row r="267" s="35" customFormat="1" x14ac:dyDescent="0.35"/>
    <row r="268" s="35" customFormat="1" x14ac:dyDescent="0.35"/>
    <row r="269" s="35" customFormat="1" x14ac:dyDescent="0.35"/>
    <row r="270" s="35" customFormat="1" x14ac:dyDescent="0.35"/>
    <row r="271" s="35" customFormat="1" x14ac:dyDescent="0.35"/>
    <row r="272" s="35" customFormat="1" x14ac:dyDescent="0.35"/>
    <row r="273" s="35" customFormat="1" x14ac:dyDescent="0.35"/>
    <row r="274" s="35" customFormat="1" x14ac:dyDescent="0.35"/>
    <row r="275" s="35" customFormat="1" x14ac:dyDescent="0.35"/>
    <row r="276" s="35" customFormat="1" x14ac:dyDescent="0.35"/>
    <row r="277" s="35" customFormat="1" x14ac:dyDescent="0.35"/>
    <row r="278" s="35" customFormat="1" x14ac:dyDescent="0.35"/>
    <row r="279" s="35" customFormat="1" x14ac:dyDescent="0.35"/>
    <row r="280" s="35" customFormat="1" x14ac:dyDescent="0.35"/>
    <row r="281" s="35" customFormat="1" x14ac:dyDescent="0.35"/>
    <row r="282" s="35" customFormat="1" x14ac:dyDescent="0.35"/>
    <row r="283" s="35" customFormat="1" x14ac:dyDescent="0.35"/>
    <row r="284" s="35" customFormat="1" x14ac:dyDescent="0.35"/>
    <row r="285" s="35" customFormat="1" x14ac:dyDescent="0.35"/>
    <row r="286" s="35" customFormat="1" x14ac:dyDescent="0.35"/>
    <row r="287" s="35" customFormat="1" x14ac:dyDescent="0.35"/>
    <row r="288" s="35" customFormat="1" x14ac:dyDescent="0.35"/>
    <row r="289" s="35" customFormat="1" x14ac:dyDescent="0.35"/>
    <row r="290" s="35" customFormat="1" x14ac:dyDescent="0.35"/>
    <row r="291" s="35" customFormat="1" x14ac:dyDescent="0.35"/>
    <row r="292" s="35" customFormat="1" x14ac:dyDescent="0.35"/>
    <row r="293" s="35" customFormat="1" x14ac:dyDescent="0.35"/>
    <row r="294" s="35" customFormat="1" x14ac:dyDescent="0.35"/>
    <row r="295" s="35" customFormat="1" x14ac:dyDescent="0.35"/>
    <row r="296" s="35" customFormat="1" x14ac:dyDescent="0.35"/>
    <row r="297" s="35" customFormat="1" x14ac:dyDescent="0.35"/>
    <row r="298" s="35" customFormat="1" x14ac:dyDescent="0.35"/>
    <row r="299" s="35" customFormat="1" x14ac:dyDescent="0.35"/>
    <row r="300" s="35" customFormat="1" x14ac:dyDescent="0.35"/>
    <row r="301" s="35" customFormat="1" x14ac:dyDescent="0.35"/>
    <row r="302" s="35" customFormat="1" x14ac:dyDescent="0.35"/>
    <row r="303" s="35" customFormat="1" x14ac:dyDescent="0.35"/>
    <row r="304" s="35" customFormat="1" x14ac:dyDescent="0.35"/>
    <row r="305" s="35" customFormat="1" x14ac:dyDescent="0.35"/>
    <row r="306" s="35" customFormat="1" x14ac:dyDescent="0.35"/>
    <row r="307" s="35" customFormat="1" x14ac:dyDescent="0.35"/>
    <row r="308" s="35" customFormat="1" x14ac:dyDescent="0.35"/>
    <row r="309" s="35" customFormat="1" x14ac:dyDescent="0.35"/>
    <row r="310" s="35" customFormat="1" x14ac:dyDescent="0.35"/>
    <row r="311" s="35" customFormat="1" x14ac:dyDescent="0.35"/>
    <row r="312" s="35" customFormat="1" x14ac:dyDescent="0.35"/>
    <row r="313" s="35" customFormat="1" x14ac:dyDescent="0.35"/>
    <row r="314" s="35" customFormat="1" x14ac:dyDescent="0.35"/>
    <row r="315" s="35" customFormat="1" x14ac:dyDescent="0.35"/>
    <row r="316" s="35" customFormat="1" x14ac:dyDescent="0.35"/>
    <row r="317" s="35" customFormat="1" x14ac:dyDescent="0.35"/>
    <row r="318" s="35" customFormat="1" x14ac:dyDescent="0.35"/>
    <row r="319" s="35" customFormat="1" x14ac:dyDescent="0.35"/>
    <row r="320" s="35" customFormat="1" x14ac:dyDescent="0.35"/>
    <row r="321" s="35" customFormat="1" x14ac:dyDescent="0.35"/>
    <row r="322" s="35" customFormat="1" x14ac:dyDescent="0.35"/>
    <row r="323" s="35" customFormat="1" x14ac:dyDescent="0.35"/>
    <row r="324" s="35" customFormat="1" x14ac:dyDescent="0.35"/>
    <row r="325" s="35" customFormat="1" x14ac:dyDescent="0.35"/>
    <row r="326" s="35" customFormat="1" x14ac:dyDescent="0.35"/>
    <row r="327" s="35" customFormat="1" x14ac:dyDescent="0.35"/>
    <row r="328" s="35" customFormat="1" x14ac:dyDescent="0.35"/>
    <row r="329" s="35" customFormat="1" x14ac:dyDescent="0.35"/>
    <row r="330" s="35" customFormat="1" x14ac:dyDescent="0.35"/>
    <row r="331" s="35" customFormat="1" x14ac:dyDescent="0.35"/>
    <row r="332" s="35" customFormat="1" x14ac:dyDescent="0.35"/>
    <row r="333" s="35" customFormat="1" x14ac:dyDescent="0.35"/>
    <row r="334" s="35" customFormat="1" x14ac:dyDescent="0.35"/>
    <row r="335" s="35" customFormat="1" x14ac:dyDescent="0.35"/>
    <row r="336" s="35" customFormat="1" x14ac:dyDescent="0.35"/>
    <row r="337" s="35" customFormat="1" x14ac:dyDescent="0.35"/>
    <row r="338" s="35" customFormat="1" x14ac:dyDescent="0.35"/>
    <row r="339" s="35" customFormat="1" x14ac:dyDescent="0.35"/>
    <row r="340" s="35" customFormat="1" x14ac:dyDescent="0.35"/>
    <row r="341" s="35" customFormat="1" x14ac:dyDescent="0.35"/>
    <row r="342" s="35" customFormat="1" x14ac:dyDescent="0.35"/>
    <row r="343" s="35" customFormat="1" x14ac:dyDescent="0.35"/>
    <row r="344" s="35" customFormat="1" x14ac:dyDescent="0.35"/>
    <row r="345" s="35" customFormat="1" x14ac:dyDescent="0.35"/>
    <row r="346" s="35" customFormat="1" x14ac:dyDescent="0.35"/>
    <row r="347" s="35" customFormat="1" x14ac:dyDescent="0.35"/>
    <row r="348" s="35" customFormat="1" x14ac:dyDescent="0.35"/>
    <row r="349" s="35" customFormat="1" x14ac:dyDescent="0.35"/>
    <row r="350" s="35" customFormat="1" x14ac:dyDescent="0.35"/>
    <row r="351" s="35" customFormat="1" x14ac:dyDescent="0.35"/>
    <row r="352" s="35" customFormat="1" x14ac:dyDescent="0.35"/>
    <row r="353" s="35" customFormat="1" x14ac:dyDescent="0.35"/>
    <row r="354" s="35" customFormat="1" x14ac:dyDescent="0.35"/>
    <row r="355" s="35" customFormat="1" x14ac:dyDescent="0.35"/>
    <row r="356" s="35" customFormat="1" x14ac:dyDescent="0.35"/>
    <row r="357" s="35" customFormat="1" x14ac:dyDescent="0.35"/>
    <row r="358" s="35" customFormat="1" x14ac:dyDescent="0.35"/>
    <row r="359" s="35" customFormat="1" x14ac:dyDescent="0.35"/>
    <row r="360" s="35" customFormat="1" x14ac:dyDescent="0.35"/>
    <row r="361" s="35" customFormat="1" x14ac:dyDescent="0.35"/>
    <row r="362" s="35" customFormat="1" x14ac:dyDescent="0.35"/>
    <row r="363" s="35" customFormat="1" x14ac:dyDescent="0.35"/>
  </sheetData>
  <mergeCells count="2">
    <mergeCell ref="A1:L1"/>
    <mergeCell ref="L20:L24"/>
  </mergeCells>
  <hyperlinks>
    <hyperlink ref="L5" r:id="rId1" display="https://www.netmarvel.com/en/blogs/1347.html" xr:uid="{B131859A-8433-4897-8E43-8DBC357B7467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7"/>
  <sheetViews>
    <sheetView showGridLines="0" tabSelected="1" zoomScaleNormal="100" workbookViewId="0">
      <pane xSplit="1" ySplit="3" topLeftCell="B4" activePane="bottomRight" state="frozen"/>
      <selection pane="topRight" activeCell="C1" sqref="C1"/>
      <selection pane="bottomLeft" activeCell="A5" sqref="A5"/>
      <selection pane="bottomRight" sqref="A1:M1"/>
    </sheetView>
  </sheetViews>
  <sheetFormatPr baseColWidth="10" defaultColWidth="8.6640625" defaultRowHeight="13.5" x14ac:dyDescent="0.35"/>
  <cols>
    <col min="1" max="1" width="34" style="36" customWidth="1"/>
    <col min="2" max="2" width="14.33203125" style="36" customWidth="1"/>
    <col min="3" max="12" width="13" style="36" customWidth="1"/>
    <col min="13" max="13" width="42" style="36" customWidth="1"/>
    <col min="14" max="14" width="4" style="36" customWidth="1"/>
    <col min="15" max="16384" width="8.6640625" style="36"/>
  </cols>
  <sheetData>
    <row r="1" spans="1:13" ht="27.75" customHeight="1" x14ac:dyDescent="0.35">
      <c r="A1" s="34" t="s">
        <v>138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3" ht="18" customHeight="1" x14ac:dyDescent="0.35">
      <c r="A3" s="39" t="s">
        <v>139</v>
      </c>
      <c r="B3" s="39">
        <v>2026</v>
      </c>
      <c r="C3" s="39" t="s">
        <v>91</v>
      </c>
      <c r="D3" s="39" t="s">
        <v>92</v>
      </c>
      <c r="E3" s="39" t="s">
        <v>93</v>
      </c>
      <c r="F3" s="39" t="s">
        <v>94</v>
      </c>
      <c r="G3" s="39" t="s">
        <v>95</v>
      </c>
      <c r="H3" s="39" t="s">
        <v>96</v>
      </c>
      <c r="I3" s="39" t="s">
        <v>97</v>
      </c>
      <c r="J3" s="39" t="s">
        <v>98</v>
      </c>
      <c r="K3" s="39">
        <v>2035</v>
      </c>
      <c r="L3" s="39" t="s">
        <v>198</v>
      </c>
      <c r="M3" s="39" t="s">
        <v>140</v>
      </c>
    </row>
    <row r="4" spans="1:13" ht="13.9" x14ac:dyDescent="0.4">
      <c r="A4" s="51" t="s">
        <v>141</v>
      </c>
      <c r="B4" s="60">
        <v>0</v>
      </c>
      <c r="C4" s="60">
        <f>'Revenue new logic'!C11</f>
        <v>264343.5</v>
      </c>
      <c r="D4" s="60">
        <f>'Revenue new logic'!D11</f>
        <v>317212.2</v>
      </c>
      <c r="E4" s="60">
        <f>'Revenue new logic'!E11</f>
        <v>761309.28</v>
      </c>
      <c r="F4" s="60">
        <f>'Revenue new logic'!F11</f>
        <v>913571.13599999994</v>
      </c>
      <c r="G4" s="60">
        <f>'Revenue new logic'!G11</f>
        <v>1096285.3632</v>
      </c>
      <c r="H4" s="60">
        <f>'Revenue new logic'!H11</f>
        <v>3315542.4358399995</v>
      </c>
      <c r="I4" s="60">
        <f>'Revenue new logic'!I24</f>
        <v>1700000</v>
      </c>
      <c r="J4" s="60">
        <f>'Revenue new logic'!J24</f>
        <v>1700000</v>
      </c>
      <c r="K4" s="60">
        <f>'Revenue new logic'!K24</f>
        <v>1700000</v>
      </c>
      <c r="L4" s="60">
        <f>SUM(B4:K4)</f>
        <v>11768263.915039999</v>
      </c>
      <c r="M4" s="61">
        <f>SUM(B4:K4)</f>
        <v>11768263.915039999</v>
      </c>
    </row>
    <row r="5" spans="1:13" ht="13.9" x14ac:dyDescent="0.4">
      <c r="A5" s="51" t="s">
        <v>142</v>
      </c>
      <c r="B5" s="60">
        <f>'Cost Build-Up'!B16</f>
        <v>360000</v>
      </c>
      <c r="C5" s="60">
        <f>'Cost Build-Up'!C16</f>
        <v>512200</v>
      </c>
      <c r="D5" s="60">
        <f>'Cost Build-Up'!D16</f>
        <v>527200</v>
      </c>
      <c r="E5" s="60">
        <f>'Cost Build-Up'!E16</f>
        <v>537200</v>
      </c>
      <c r="F5" s="60">
        <f>'Cost Build-Up'!F16</f>
        <v>572200</v>
      </c>
      <c r="G5" s="60">
        <f>'Cost Build-Up'!G16</f>
        <v>577200</v>
      </c>
      <c r="H5" s="60">
        <f>'Cost Build-Up'!H16</f>
        <v>567200</v>
      </c>
      <c r="I5" s="60">
        <f>'Cost Build-Up'!I16</f>
        <v>542200</v>
      </c>
      <c r="J5" s="60">
        <f>'Cost Build-Up'!J16</f>
        <v>542200</v>
      </c>
      <c r="K5" s="60">
        <f>'Cost Build-Up'!K16</f>
        <v>542200</v>
      </c>
      <c r="L5" s="60">
        <f t="shared" ref="L5:L8" si="0">SUM(B5:K5)</f>
        <v>5279800</v>
      </c>
      <c r="M5" s="61">
        <f>SUM(B5:K5)</f>
        <v>5279800</v>
      </c>
    </row>
    <row r="7" spans="1:13" ht="13.9" x14ac:dyDescent="0.4">
      <c r="A7" s="51" t="s">
        <v>143</v>
      </c>
      <c r="B7" s="52">
        <f t="shared" ref="B7" si="1">B4-B5</f>
        <v>-360000</v>
      </c>
      <c r="C7" s="52">
        <f t="shared" ref="C7:J7" si="2">C4-C5</f>
        <v>-247856.5</v>
      </c>
      <c r="D7" s="52">
        <f t="shared" si="2"/>
        <v>-209987.8</v>
      </c>
      <c r="E7" s="52">
        <f t="shared" si="2"/>
        <v>224109.28000000003</v>
      </c>
      <c r="F7" s="52">
        <f t="shared" si="2"/>
        <v>341371.13599999994</v>
      </c>
      <c r="G7" s="52">
        <f t="shared" si="2"/>
        <v>519085.36320000002</v>
      </c>
      <c r="H7" s="52">
        <f t="shared" si="2"/>
        <v>2748342.4358399995</v>
      </c>
      <c r="I7" s="52">
        <f t="shared" si="2"/>
        <v>1157800</v>
      </c>
      <c r="J7" s="52">
        <f t="shared" si="2"/>
        <v>1157800</v>
      </c>
      <c r="K7" s="52">
        <f t="shared" ref="K7" si="3">K4-K5</f>
        <v>1157800</v>
      </c>
      <c r="L7" s="52">
        <f>SUM(B7:K7)</f>
        <v>6488463.9150399994</v>
      </c>
    </row>
    <row r="8" spans="1:13" ht="13.9" x14ac:dyDescent="0.4">
      <c r="A8" s="51" t="s">
        <v>144</v>
      </c>
      <c r="B8" s="33">
        <f>B7</f>
        <v>-360000</v>
      </c>
      <c r="C8" s="33">
        <f>C7+B8</f>
        <v>-607856.5</v>
      </c>
      <c r="D8" s="33">
        <f t="shared" ref="D8:K8" si="4">C8+D7</f>
        <v>-817844.3</v>
      </c>
      <c r="E8" s="33">
        <f t="shared" si="4"/>
        <v>-593735.02</v>
      </c>
      <c r="F8" s="33">
        <f>E8+F7</f>
        <v>-252363.88400000008</v>
      </c>
      <c r="G8" s="33">
        <f t="shared" si="4"/>
        <v>266721.47919999994</v>
      </c>
      <c r="H8" s="33">
        <f t="shared" si="4"/>
        <v>3015063.9150399994</v>
      </c>
      <c r="I8" s="33">
        <f>H8+I7</f>
        <v>4172863.9150399994</v>
      </c>
      <c r="J8" s="33">
        <f t="shared" si="4"/>
        <v>5330663.9150399994</v>
      </c>
      <c r="K8" s="33">
        <f>J8+K7</f>
        <v>6488463.9150399994</v>
      </c>
      <c r="L8" s="33"/>
      <c r="M8" s="62">
        <f>K8/M5</f>
        <v>1.2289222915716502</v>
      </c>
    </row>
    <row r="9" spans="1:13" ht="13.9" x14ac:dyDescent="0.4">
      <c r="A9" s="51"/>
      <c r="D9" s="63" t="s">
        <v>204</v>
      </c>
      <c r="K9" s="68" t="s">
        <v>199</v>
      </c>
      <c r="L9" s="62">
        <f>L7/L5</f>
        <v>1.2289222915716502</v>
      </c>
    </row>
    <row r="11" spans="1:13" x14ac:dyDescent="0.35">
      <c r="A11" s="30" t="s">
        <v>145</v>
      </c>
      <c r="B11" s="64" t="str">
        <f t="shared" ref="B11" si="5">IFERROR(B7/B4,"-")</f>
        <v>-</v>
      </c>
      <c r="C11" s="64">
        <f t="shared" ref="C11:J11" si="6">IFERROR(C7/C4,"-")</f>
        <v>-0.93763039378687196</v>
      </c>
      <c r="D11" s="64">
        <f t="shared" si="6"/>
        <v>-0.66197895289021036</v>
      </c>
      <c r="E11" s="64">
        <f t="shared" si="6"/>
        <v>0.29437350349912983</v>
      </c>
      <c r="F11" s="64">
        <f t="shared" si="6"/>
        <v>0.37366672670358969</v>
      </c>
      <c r="G11" s="64">
        <f t="shared" si="6"/>
        <v>0.47349474929120355</v>
      </c>
      <c r="H11" s="64">
        <f t="shared" si="6"/>
        <v>0.82892693700169795</v>
      </c>
      <c r="I11" s="64">
        <f t="shared" si="6"/>
        <v>0.68105882352941172</v>
      </c>
      <c r="J11" s="64">
        <f t="shared" si="6"/>
        <v>0.68105882352941172</v>
      </c>
      <c r="K11" s="64">
        <f t="shared" ref="K11" si="7">IFERROR(K7/K4,"-")</f>
        <v>0.68105882352941172</v>
      </c>
      <c r="L11" s="64"/>
    </row>
    <row r="13" spans="1:13" ht="13.9" x14ac:dyDescent="0.4">
      <c r="A13" s="51" t="s">
        <v>146</v>
      </c>
      <c r="B13" s="51"/>
    </row>
    <row r="14" spans="1:13" ht="27.75" customHeight="1" x14ac:dyDescent="0.35">
      <c r="A14" s="65" t="s">
        <v>147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</row>
    <row r="15" spans="1:13" ht="6" customHeight="1" x14ac:dyDescent="0.3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</row>
    <row r="16" spans="1:13" ht="27.75" customHeight="1" x14ac:dyDescent="0.35">
      <c r="A16" s="65" t="s">
        <v>148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</row>
    <row r="17" spans="1:13" ht="6" customHeight="1" x14ac:dyDescent="0.35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</row>
    <row r="18" spans="1:13" ht="27.75" customHeight="1" x14ac:dyDescent="0.35">
      <c r="A18" s="65" t="s">
        <v>149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</row>
    <row r="19" spans="1:13" ht="6" customHeight="1" x14ac:dyDescent="0.3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ht="27.75" customHeight="1" x14ac:dyDescent="0.35">
      <c r="A20" s="65" t="s">
        <v>150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</row>
    <row r="21" spans="1:13" ht="6" customHeight="1" x14ac:dyDescent="0.3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1:13" ht="27.75" customHeight="1" x14ac:dyDescent="0.35">
      <c r="A22" s="65" t="s">
        <v>151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</row>
    <row r="65" spans="1:1" x14ac:dyDescent="0.35">
      <c r="A65" s="36" t="s">
        <v>189</v>
      </c>
    </row>
    <row r="66" spans="1:1" x14ac:dyDescent="0.35">
      <c r="A66" s="36" t="s">
        <v>190</v>
      </c>
    </row>
    <row r="67" spans="1:1" x14ac:dyDescent="0.35">
      <c r="A67" s="36" t="s">
        <v>191</v>
      </c>
    </row>
  </sheetData>
  <mergeCells count="10">
    <mergeCell ref="A18:M18"/>
    <mergeCell ref="A19:M19"/>
    <mergeCell ref="A20:M20"/>
    <mergeCell ref="A21:M21"/>
    <mergeCell ref="A22:M22"/>
    <mergeCell ref="A1:M1"/>
    <mergeCell ref="A14:M14"/>
    <mergeCell ref="A15:M15"/>
    <mergeCell ref="A16:M16"/>
    <mergeCell ref="A17:M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6"/>
  <sheetViews>
    <sheetView showGridLines="0" zoomScaleNormal="100" workbookViewId="0"/>
  </sheetViews>
  <sheetFormatPr baseColWidth="10" defaultColWidth="8.6640625" defaultRowHeight="14.25" x14ac:dyDescent="0.45"/>
  <cols>
    <col min="1" max="1" width="4" customWidth="1"/>
    <col min="2" max="2" width="30" customWidth="1"/>
    <col min="3" max="3" width="70" customWidth="1"/>
    <col min="4" max="4" width="4" customWidth="1"/>
  </cols>
  <sheetData>
    <row r="2" spans="2:3" ht="27.75" customHeight="1" x14ac:dyDescent="0.45">
      <c r="B2" s="1" t="s">
        <v>152</v>
      </c>
      <c r="C2" s="1"/>
    </row>
    <row r="4" spans="2:3" ht="60" customHeight="1" x14ac:dyDescent="0.45">
      <c r="B4" s="2" t="s">
        <v>153</v>
      </c>
      <c r="C4" s="3" t="s">
        <v>154</v>
      </c>
    </row>
    <row r="6" spans="2:3" x14ac:dyDescent="0.45">
      <c r="B6" s="26" t="s">
        <v>155</v>
      </c>
      <c r="C6" s="26" t="s">
        <v>22</v>
      </c>
    </row>
    <row r="7" spans="2:3" ht="48" customHeight="1" x14ac:dyDescent="0.45">
      <c r="B7" s="8" t="s">
        <v>156</v>
      </c>
      <c r="C7" s="27" t="s">
        <v>157</v>
      </c>
    </row>
    <row r="8" spans="2:3" ht="48" customHeight="1" x14ac:dyDescent="0.45">
      <c r="B8" s="8" t="s">
        <v>158</v>
      </c>
      <c r="C8" s="27" t="s">
        <v>159</v>
      </c>
    </row>
    <row r="9" spans="2:3" ht="48" customHeight="1" x14ac:dyDescent="0.45">
      <c r="B9" s="8" t="s">
        <v>160</v>
      </c>
      <c r="C9" s="27" t="s">
        <v>161</v>
      </c>
    </row>
    <row r="10" spans="2:3" ht="48" customHeight="1" x14ac:dyDescent="0.45">
      <c r="B10" s="8" t="s">
        <v>162</v>
      </c>
      <c r="C10" s="27" t="s">
        <v>163</v>
      </c>
    </row>
    <row r="11" spans="2:3" ht="48" customHeight="1" x14ac:dyDescent="0.45">
      <c r="B11" s="8" t="s">
        <v>164</v>
      </c>
      <c r="C11" s="27" t="s">
        <v>165</v>
      </c>
    </row>
    <row r="12" spans="2:3" ht="48" customHeight="1" x14ac:dyDescent="0.45">
      <c r="B12" s="8" t="s">
        <v>166</v>
      </c>
      <c r="C12" s="27" t="s">
        <v>167</v>
      </c>
    </row>
    <row r="13" spans="2:3" ht="48" customHeight="1" x14ac:dyDescent="0.45">
      <c r="B13" s="8" t="s">
        <v>168</v>
      </c>
      <c r="C13" s="27" t="s">
        <v>169</v>
      </c>
    </row>
    <row r="14" spans="2:3" ht="48" customHeight="1" x14ac:dyDescent="0.45">
      <c r="B14" s="8" t="s">
        <v>170</v>
      </c>
      <c r="C14" s="27" t="s">
        <v>171</v>
      </c>
    </row>
    <row r="15" spans="2:3" ht="48" customHeight="1" x14ac:dyDescent="0.45">
      <c r="B15" s="8" t="s">
        <v>172</v>
      </c>
      <c r="C15" s="27" t="s">
        <v>173</v>
      </c>
    </row>
    <row r="16" spans="2:3" ht="48" customHeight="1" x14ac:dyDescent="0.45">
      <c r="B16" s="8" t="s">
        <v>174</v>
      </c>
      <c r="C16" s="27" t="s">
        <v>175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Read Me</vt:lpstr>
      <vt:lpstr>Assumptions</vt:lpstr>
      <vt:lpstr>Cost Build-Up</vt:lpstr>
      <vt:lpstr>Revenue Build-Up</vt:lpstr>
      <vt:lpstr>Revenue new logic</vt:lpstr>
      <vt:lpstr>Cost-Benefit 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Jule Markus</cp:lastModifiedBy>
  <cp:revision>1</cp:revision>
  <dcterms:created xsi:type="dcterms:W3CDTF">2026-06-30T05:46:09Z</dcterms:created>
  <dcterms:modified xsi:type="dcterms:W3CDTF">2026-07-01T13:47:23Z</dcterms:modified>
  <dc:language>en-US</dc:language>
</cp:coreProperties>
</file>